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gikabi-my.sharepoint.com/personal/pedro_logicabi_com/Documents/Pedro/Aguia/"/>
    </mc:Choice>
  </mc:AlternateContent>
  <xr:revisionPtr revIDLastSave="1717" documentId="8_{04702DD4-7C0E-409E-A8E8-ADAED096A082}" xr6:coauthVersionLast="47" xr6:coauthVersionMax="47" xr10:uidLastSave="{295201BC-8D75-42A5-843B-0095F7753EBA}"/>
  <bookViews>
    <workbookView xWindow="-108" yWindow="-108" windowWidth="23256" windowHeight="12456" tabRatio="776" xr2:uid="{A2E1A07E-4A65-4D16-BB62-9DD41BDFCE1B}"/>
  </bookViews>
  <sheets>
    <sheet name="Detalhado" sheetId="23" r:id="rId1"/>
    <sheet name="Planilha10" sheetId="29" r:id="rId2"/>
    <sheet name="Planilha11" sheetId="30" r:id="rId3"/>
    <sheet name="Planilha9" sheetId="28" r:id="rId4"/>
    <sheet name="ILHEUS" sheetId="24" r:id="rId5"/>
    <sheet name="ITABUNA" sheetId="25" r:id="rId6"/>
    <sheet name="ITAPETINGA" sheetId="26" r:id="rId7"/>
    <sheet name="CONQUISTA" sheetId="27" r:id="rId8"/>
  </sheets>
  <definedNames>
    <definedName name="TABELA_AGUIA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1" i="23" l="1"/>
  <c r="AJ22" i="23" s="1"/>
  <c r="AI21" i="23"/>
  <c r="AI22" i="23"/>
  <c r="AH21" i="23"/>
  <c r="AH22" i="23" s="1"/>
  <c r="AG21" i="23"/>
  <c r="AG22" i="23"/>
  <c r="AF21" i="23"/>
  <c r="AF22" i="23" s="1"/>
  <c r="AE21" i="23"/>
  <c r="AE22" i="23"/>
  <c r="AD22" i="23" l="1"/>
  <c r="AB22" i="23"/>
  <c r="AC22" i="23"/>
  <c r="AA22" i="23"/>
  <c r="Z22" i="23"/>
  <c r="X22" i="23"/>
  <c r="U22" i="23"/>
  <c r="W22" i="23"/>
  <c r="T22" i="23"/>
  <c r="S22" i="23"/>
  <c r="Q22" i="23"/>
  <c r="AB5" i="23"/>
  <c r="Y5" i="23"/>
  <c r="U5" i="23"/>
  <c r="Q5" i="23"/>
  <c r="P22" i="23"/>
  <c r="O22" i="23"/>
  <c r="J22" i="23"/>
  <c r="I22" i="23"/>
  <c r="E22" i="23"/>
  <c r="AC21" i="23"/>
  <c r="AB21" i="23"/>
  <c r="Y21" i="23"/>
  <c r="Z21" i="23"/>
  <c r="V21" i="23"/>
  <c r="W21" i="23" s="1"/>
  <c r="U21" i="23"/>
  <c r="S21" i="23"/>
  <c r="Q21" i="23"/>
  <c r="O21" i="30"/>
  <c r="L21" i="30"/>
  <c r="I21" i="30"/>
  <c r="E21" i="30"/>
  <c r="AC20" i="30"/>
  <c r="Z20" i="30"/>
  <c r="U20" i="30"/>
  <c r="W20" i="30" s="1"/>
  <c r="Q20" i="30"/>
  <c r="S20" i="30" s="1"/>
  <c r="O20" i="30"/>
  <c r="L20" i="30"/>
  <c r="I20" i="30"/>
  <c r="AE20" i="30" s="1"/>
  <c r="E20" i="30"/>
  <c r="AE19" i="30"/>
  <c r="AC19" i="30"/>
  <c r="Z19" i="30"/>
  <c r="V19" i="30"/>
  <c r="U19" i="30"/>
  <c r="W19" i="30" s="1"/>
  <c r="Q19" i="30"/>
  <c r="S19" i="30" s="1"/>
  <c r="O19" i="30"/>
  <c r="L19" i="30"/>
  <c r="I19" i="30"/>
  <c r="E19" i="30"/>
  <c r="AC18" i="30"/>
  <c r="Z18" i="30"/>
  <c r="W18" i="30"/>
  <c r="S18" i="30"/>
  <c r="O18" i="30"/>
  <c r="L18" i="30"/>
  <c r="I18" i="30"/>
  <c r="E18" i="30"/>
  <c r="AE18" i="30" s="1"/>
  <c r="AC17" i="30"/>
  <c r="Z17" i="30"/>
  <c r="W17" i="30"/>
  <c r="S17" i="30"/>
  <c r="O17" i="30"/>
  <c r="L17" i="30"/>
  <c r="I17" i="30"/>
  <c r="E17" i="30"/>
  <c r="AE17" i="30" s="1"/>
  <c r="AC16" i="30"/>
  <c r="Z16" i="30"/>
  <c r="W16" i="30"/>
  <c r="S16" i="30"/>
  <c r="O16" i="30"/>
  <c r="L16" i="30"/>
  <c r="I16" i="30"/>
  <c r="E16" i="30"/>
  <c r="AC15" i="30"/>
  <c r="Z15" i="30"/>
  <c r="W15" i="30"/>
  <c r="S15" i="30"/>
  <c r="O15" i="30"/>
  <c r="L15" i="30"/>
  <c r="AE15" i="30" s="1"/>
  <c r="I15" i="30"/>
  <c r="E15" i="30"/>
  <c r="AC14" i="30"/>
  <c r="Z14" i="30"/>
  <c r="W14" i="30"/>
  <c r="S14" i="30"/>
  <c r="O14" i="30"/>
  <c r="L14" i="30"/>
  <c r="I14" i="30"/>
  <c r="E14" i="30"/>
  <c r="AE14" i="30" s="1"/>
  <c r="AC13" i="30"/>
  <c r="Z13" i="30"/>
  <c r="W13" i="30"/>
  <c r="S13" i="30"/>
  <c r="O13" i="30"/>
  <c r="L13" i="30"/>
  <c r="G13" i="30"/>
  <c r="I13" i="30" s="1"/>
  <c r="E13" i="30"/>
  <c r="AE13" i="30" s="1"/>
  <c r="AC12" i="30"/>
  <c r="Z12" i="30"/>
  <c r="W12" i="30"/>
  <c r="S12" i="30"/>
  <c r="O12" i="30"/>
  <c r="L12" i="30"/>
  <c r="I12" i="30"/>
  <c r="E12" i="30"/>
  <c r="AC11" i="30"/>
  <c r="Z11" i="30"/>
  <c r="W11" i="30"/>
  <c r="S11" i="30"/>
  <c r="O11" i="30"/>
  <c r="L11" i="30"/>
  <c r="I11" i="30"/>
  <c r="E11" i="30"/>
  <c r="AE11" i="30" s="1"/>
  <c r="AC10" i="30"/>
  <c r="Z10" i="30"/>
  <c r="W10" i="30"/>
  <c r="S10" i="30"/>
  <c r="O10" i="30"/>
  <c r="L10" i="30"/>
  <c r="I10" i="30"/>
  <c r="E10" i="30"/>
  <c r="AE10" i="30" s="1"/>
  <c r="AC9" i="30"/>
  <c r="Z9" i="30"/>
  <c r="W9" i="30"/>
  <c r="S9" i="30"/>
  <c r="O9" i="30"/>
  <c r="N9" i="30"/>
  <c r="L9" i="30"/>
  <c r="I9" i="30"/>
  <c r="E9" i="30"/>
  <c r="AE9" i="30" s="1"/>
  <c r="AC8" i="30"/>
  <c r="Z8" i="30"/>
  <c r="W8" i="30"/>
  <c r="S8" i="30"/>
  <c r="O8" i="30"/>
  <c r="L8" i="30"/>
  <c r="K8" i="30"/>
  <c r="I8" i="30"/>
  <c r="AE8" i="30" s="1"/>
  <c r="E8" i="30"/>
  <c r="AC7" i="30"/>
  <c r="Z7" i="30"/>
  <c r="W7" i="30"/>
  <c r="S7" i="30"/>
  <c r="O7" i="30"/>
  <c r="L7" i="30"/>
  <c r="I7" i="30"/>
  <c r="E7" i="30"/>
  <c r="AC6" i="30"/>
  <c r="Z6" i="30"/>
  <c r="W6" i="30"/>
  <c r="S6" i="30"/>
  <c r="O6" i="30"/>
  <c r="L6" i="30"/>
  <c r="I6" i="30"/>
  <c r="E6" i="30"/>
  <c r="AE6" i="30" s="1"/>
  <c r="AC5" i="30"/>
  <c r="Z5" i="30"/>
  <c r="AA5" i="30" s="1"/>
  <c r="AA6" i="30" s="1"/>
  <c r="AA7" i="30" s="1"/>
  <c r="AA8" i="30" s="1"/>
  <c r="AA9" i="30" s="1"/>
  <c r="AA10" i="30" s="1"/>
  <c r="AA11" i="30" s="1"/>
  <c r="AA12" i="30" s="1"/>
  <c r="AA13" i="30" s="1"/>
  <c r="AA14" i="30" s="1"/>
  <c r="AA15" i="30" s="1"/>
  <c r="AA16" i="30" s="1"/>
  <c r="AA17" i="30" s="1"/>
  <c r="AA18" i="30" s="1"/>
  <c r="AA19" i="30" s="1"/>
  <c r="AA20" i="30" s="1"/>
  <c r="W5" i="30"/>
  <c r="S5" i="30"/>
  <c r="O5" i="30"/>
  <c r="L5" i="30"/>
  <c r="M5" i="30" s="1"/>
  <c r="I5" i="30"/>
  <c r="J5" i="30" s="1"/>
  <c r="J6" i="30" s="1"/>
  <c r="E5" i="30"/>
  <c r="AE5" i="30" s="1"/>
  <c r="AH4" i="30"/>
  <c r="AH5" i="30" s="1"/>
  <c r="AH6" i="30" s="1"/>
  <c r="AH7" i="30" s="1"/>
  <c r="AH8" i="30" s="1"/>
  <c r="AH9" i="30" s="1"/>
  <c r="AH10" i="30" s="1"/>
  <c r="AH11" i="30" s="1"/>
  <c r="AH12" i="30" s="1"/>
  <c r="AH13" i="30" s="1"/>
  <c r="AH14" i="30" s="1"/>
  <c r="AH15" i="30" s="1"/>
  <c r="AH16" i="30" s="1"/>
  <c r="AH17" i="30" s="1"/>
  <c r="AH18" i="30" s="1"/>
  <c r="AC4" i="30"/>
  <c r="AD4" i="30" s="1"/>
  <c r="AA4" i="30"/>
  <c r="Z4" i="30"/>
  <c r="W4" i="30"/>
  <c r="X4" i="30" s="1"/>
  <c r="T4" i="30"/>
  <c r="T5" i="30" s="1"/>
  <c r="S4" i="30"/>
  <c r="O4" i="30"/>
  <c r="P4" i="30" s="1"/>
  <c r="M4" i="30"/>
  <c r="L4" i="30"/>
  <c r="I4" i="30"/>
  <c r="J4" i="30" s="1"/>
  <c r="F4" i="30"/>
  <c r="F5" i="30" s="1"/>
  <c r="E4" i="30"/>
  <c r="AE4" i="30" s="1"/>
  <c r="O21" i="29"/>
  <c r="L21" i="29"/>
  <c r="I21" i="29"/>
  <c r="E21" i="29"/>
  <c r="AC20" i="29"/>
  <c r="Z20" i="29"/>
  <c r="U20" i="29"/>
  <c r="W20" i="29" s="1"/>
  <c r="S20" i="29"/>
  <c r="AG20" i="29" s="1"/>
  <c r="Q20" i="29"/>
  <c r="O20" i="29"/>
  <c r="L20" i="29"/>
  <c r="I20" i="29"/>
  <c r="AE20" i="29" s="1"/>
  <c r="E20" i="29"/>
  <c r="AC19" i="29"/>
  <c r="Z19" i="29"/>
  <c r="V19" i="29"/>
  <c r="U19" i="29"/>
  <c r="W19" i="29" s="1"/>
  <c r="Q19" i="29"/>
  <c r="S19" i="29" s="1"/>
  <c r="O19" i="29"/>
  <c r="L19" i="29"/>
  <c r="I19" i="29"/>
  <c r="E19" i="29"/>
  <c r="AE19" i="29" s="1"/>
  <c r="AC18" i="29"/>
  <c r="Z18" i="29"/>
  <c r="W18" i="29"/>
  <c r="S18" i="29"/>
  <c r="O18" i="29"/>
  <c r="L18" i="29"/>
  <c r="I18" i="29"/>
  <c r="E18" i="29"/>
  <c r="AE18" i="29" s="1"/>
  <c r="AC17" i="29"/>
  <c r="Z17" i="29"/>
  <c r="W17" i="29"/>
  <c r="S17" i="29"/>
  <c r="O17" i="29"/>
  <c r="L17" i="29"/>
  <c r="I17" i="29"/>
  <c r="E17" i="29"/>
  <c r="AE17" i="29" s="1"/>
  <c r="AC16" i="29"/>
  <c r="Z16" i="29"/>
  <c r="W16" i="29"/>
  <c r="S16" i="29"/>
  <c r="O16" i="29"/>
  <c r="L16" i="29"/>
  <c r="I16" i="29"/>
  <c r="E16" i="29"/>
  <c r="AE16" i="29" s="1"/>
  <c r="AC15" i="29"/>
  <c r="Z15" i="29"/>
  <c r="W15" i="29"/>
  <c r="S15" i="29"/>
  <c r="O15" i="29"/>
  <c r="L15" i="29"/>
  <c r="I15" i="29"/>
  <c r="E15" i="29"/>
  <c r="AC14" i="29"/>
  <c r="Z14" i="29"/>
  <c r="W14" i="29"/>
  <c r="S14" i="29"/>
  <c r="O14" i="29"/>
  <c r="L14" i="29"/>
  <c r="I14" i="29"/>
  <c r="E14" i="29"/>
  <c r="AC13" i="29"/>
  <c r="Z13" i="29"/>
  <c r="W13" i="29"/>
  <c r="S13" i="29"/>
  <c r="O13" i="29"/>
  <c r="L13" i="29"/>
  <c r="I13" i="29"/>
  <c r="G13" i="29"/>
  <c r="E13" i="29"/>
  <c r="AC12" i="29"/>
  <c r="Z12" i="29"/>
  <c r="W12" i="29"/>
  <c r="S12" i="29"/>
  <c r="O12" i="29"/>
  <c r="L12" i="29"/>
  <c r="I12" i="29"/>
  <c r="E12" i="29"/>
  <c r="AE12" i="29" s="1"/>
  <c r="AC11" i="29"/>
  <c r="Z11" i="29"/>
  <c r="W11" i="29"/>
  <c r="S11" i="29"/>
  <c r="O11" i="29"/>
  <c r="L11" i="29"/>
  <c r="I11" i="29"/>
  <c r="E11" i="29"/>
  <c r="AC10" i="29"/>
  <c r="Z10" i="29"/>
  <c r="W10" i="29"/>
  <c r="S10" i="29"/>
  <c r="O10" i="29"/>
  <c r="L10" i="29"/>
  <c r="I10" i="29"/>
  <c r="E10" i="29"/>
  <c r="AC9" i="29"/>
  <c r="Z9" i="29"/>
  <c r="W9" i="29"/>
  <c r="X9" i="29" s="1"/>
  <c r="S9" i="29"/>
  <c r="N9" i="29"/>
  <c r="O9" i="29" s="1"/>
  <c r="L9" i="29"/>
  <c r="I9" i="29"/>
  <c r="E9" i="29"/>
  <c r="AE9" i="29" s="1"/>
  <c r="AC8" i="29"/>
  <c r="Z8" i="29"/>
  <c r="W8" i="29"/>
  <c r="S8" i="29"/>
  <c r="O8" i="29"/>
  <c r="K8" i="29"/>
  <c r="L8" i="29" s="1"/>
  <c r="I8" i="29"/>
  <c r="E8" i="29"/>
  <c r="AC7" i="29"/>
  <c r="Z7" i="29"/>
  <c r="W7" i="29"/>
  <c r="S7" i="29"/>
  <c r="O7" i="29"/>
  <c r="L7" i="29"/>
  <c r="I7" i="29"/>
  <c r="E7" i="29"/>
  <c r="AE7" i="29" s="1"/>
  <c r="AC6" i="29"/>
  <c r="Z6" i="29"/>
  <c r="W6" i="29"/>
  <c r="S6" i="29"/>
  <c r="O6" i="29"/>
  <c r="L6" i="29"/>
  <c r="M6" i="29" s="1"/>
  <c r="I6" i="29"/>
  <c r="E6" i="29"/>
  <c r="AE6" i="29" s="1"/>
  <c r="AC5" i="29"/>
  <c r="Z5" i="29"/>
  <c r="W5" i="29"/>
  <c r="S5" i="29"/>
  <c r="O5" i="29"/>
  <c r="L5" i="29"/>
  <c r="I5" i="29"/>
  <c r="E5" i="29"/>
  <c r="AE5" i="29" s="1"/>
  <c r="AH4" i="29"/>
  <c r="AH5" i="29" s="1"/>
  <c r="AH6" i="29" s="1"/>
  <c r="AH7" i="29" s="1"/>
  <c r="AH8" i="29" s="1"/>
  <c r="AH9" i="29" s="1"/>
  <c r="AH10" i="29" s="1"/>
  <c r="AH11" i="29" s="1"/>
  <c r="AH12" i="29" s="1"/>
  <c r="AH13" i="29" s="1"/>
  <c r="AH14" i="29" s="1"/>
  <c r="AH15" i="29" s="1"/>
  <c r="AH16" i="29" s="1"/>
  <c r="AH17" i="29" s="1"/>
  <c r="AH18" i="29" s="1"/>
  <c r="AC4" i="29"/>
  <c r="AD4" i="29" s="1"/>
  <c r="AA4" i="29"/>
  <c r="AA5" i="29" s="1"/>
  <c r="AA6" i="29" s="1"/>
  <c r="AA7" i="29" s="1"/>
  <c r="AA8" i="29" s="1"/>
  <c r="AA9" i="29" s="1"/>
  <c r="AA10" i="29" s="1"/>
  <c r="AA11" i="29" s="1"/>
  <c r="AA12" i="29" s="1"/>
  <c r="AA13" i="29" s="1"/>
  <c r="AA14" i="29" s="1"/>
  <c r="AA15" i="29" s="1"/>
  <c r="AA16" i="29" s="1"/>
  <c r="AA17" i="29" s="1"/>
  <c r="AA18" i="29" s="1"/>
  <c r="AA19" i="29" s="1"/>
  <c r="AA20" i="29" s="1"/>
  <c r="Z4" i="29"/>
  <c r="W4" i="29"/>
  <c r="X4" i="29" s="1"/>
  <c r="X5" i="29" s="1"/>
  <c r="X6" i="29" s="1"/>
  <c r="X7" i="29" s="1"/>
  <c r="X8" i="29" s="1"/>
  <c r="S4" i="29"/>
  <c r="T4" i="29" s="1"/>
  <c r="O4" i="29"/>
  <c r="P4" i="29" s="1"/>
  <c r="M4" i="29"/>
  <c r="M5" i="29" s="1"/>
  <c r="L4" i="29"/>
  <c r="I4" i="29"/>
  <c r="J4" i="29" s="1"/>
  <c r="J5" i="29" s="1"/>
  <c r="J6" i="29" s="1"/>
  <c r="J7" i="29" s="1"/>
  <c r="E4" i="29"/>
  <c r="F4" i="29" s="1"/>
  <c r="O22" i="28"/>
  <c r="L22" i="28"/>
  <c r="I22" i="28"/>
  <c r="E22" i="28"/>
  <c r="AC21" i="28"/>
  <c r="Z21" i="28"/>
  <c r="W21" i="28"/>
  <c r="U21" i="28"/>
  <c r="Q21" i="28"/>
  <c r="S21" i="28" s="1"/>
  <c r="O21" i="28"/>
  <c r="L21" i="28"/>
  <c r="I21" i="28"/>
  <c r="E21" i="28"/>
  <c r="AE21" i="28" s="1"/>
  <c r="AC20" i="28"/>
  <c r="Z20" i="28"/>
  <c r="V20" i="28"/>
  <c r="U20" i="28"/>
  <c r="W20" i="28" s="1"/>
  <c r="S20" i="28"/>
  <c r="AG20" i="28" s="1"/>
  <c r="Q20" i="28"/>
  <c r="O20" i="28"/>
  <c r="L20" i="28"/>
  <c r="I20" i="28"/>
  <c r="E20" i="28"/>
  <c r="AE20" i="28" s="1"/>
  <c r="AC19" i="28"/>
  <c r="Z19" i="28"/>
  <c r="W19" i="28"/>
  <c r="S19" i="28"/>
  <c r="O19" i="28"/>
  <c r="L19" i="28"/>
  <c r="I19" i="28"/>
  <c r="E19" i="28"/>
  <c r="AC18" i="28"/>
  <c r="Z18" i="28"/>
  <c r="W18" i="28"/>
  <c r="S18" i="28"/>
  <c r="O18" i="28"/>
  <c r="L18" i="28"/>
  <c r="I18" i="28"/>
  <c r="E18" i="28"/>
  <c r="AC17" i="28"/>
  <c r="Z17" i="28"/>
  <c r="W17" i="28"/>
  <c r="S17" i="28"/>
  <c r="O17" i="28"/>
  <c r="L17" i="28"/>
  <c r="I17" i="28"/>
  <c r="E17" i="28"/>
  <c r="AC16" i="28"/>
  <c r="Z16" i="28"/>
  <c r="W16" i="28"/>
  <c r="S16" i="28"/>
  <c r="O16" i="28"/>
  <c r="L16" i="28"/>
  <c r="I16" i="28"/>
  <c r="E16" i="28"/>
  <c r="AE16" i="28" s="1"/>
  <c r="AC15" i="28"/>
  <c r="Z15" i="28"/>
  <c r="W15" i="28"/>
  <c r="S15" i="28"/>
  <c r="O15" i="28"/>
  <c r="L15" i="28"/>
  <c r="I15" i="28"/>
  <c r="E15" i="28"/>
  <c r="AC14" i="28"/>
  <c r="Z14" i="28"/>
  <c r="W14" i="28"/>
  <c r="S14" i="28"/>
  <c r="O14" i="28"/>
  <c r="L14" i="28"/>
  <c r="G14" i="28"/>
  <c r="I14" i="28" s="1"/>
  <c r="E14" i="28"/>
  <c r="AC13" i="28"/>
  <c r="Z13" i="28"/>
  <c r="W13" i="28"/>
  <c r="S13" i="28"/>
  <c r="O13" i="28"/>
  <c r="L13" i="28"/>
  <c r="I13" i="28"/>
  <c r="E13" i="28"/>
  <c r="AC12" i="28"/>
  <c r="Z12" i="28"/>
  <c r="W12" i="28"/>
  <c r="S12" i="28"/>
  <c r="O12" i="28"/>
  <c r="L12" i="28"/>
  <c r="I12" i="28"/>
  <c r="E12" i="28"/>
  <c r="AC11" i="28"/>
  <c r="Z11" i="28"/>
  <c r="W11" i="28"/>
  <c r="S11" i="28"/>
  <c r="O11" i="28"/>
  <c r="L11" i="28"/>
  <c r="I11" i="28"/>
  <c r="E11" i="28"/>
  <c r="AC10" i="28"/>
  <c r="Z10" i="28"/>
  <c r="W10" i="28"/>
  <c r="S10" i="28"/>
  <c r="N10" i="28"/>
  <c r="O10" i="28" s="1"/>
  <c r="L10" i="28"/>
  <c r="I10" i="28"/>
  <c r="E10" i="28"/>
  <c r="AE10" i="28" s="1"/>
  <c r="AC9" i="28"/>
  <c r="Z9" i="28"/>
  <c r="W9" i="28"/>
  <c r="S9" i="28"/>
  <c r="O9" i="28"/>
  <c r="K9" i="28"/>
  <c r="L9" i="28" s="1"/>
  <c r="I9" i="28"/>
  <c r="E9" i="28"/>
  <c r="AE9" i="28" s="1"/>
  <c r="AC8" i="28"/>
  <c r="Z8" i="28"/>
  <c r="W8" i="28"/>
  <c r="S8" i="28"/>
  <c r="O8" i="28"/>
  <c r="L8" i="28"/>
  <c r="I8" i="28"/>
  <c r="E8" i="28"/>
  <c r="AE8" i="28" s="1"/>
  <c r="AC7" i="28"/>
  <c r="AD7" i="28" s="1"/>
  <c r="Z7" i="28"/>
  <c r="W7" i="28"/>
  <c r="S7" i="28"/>
  <c r="O7" i="28"/>
  <c r="L7" i="28"/>
  <c r="I7" i="28"/>
  <c r="J7" i="28" s="1"/>
  <c r="E7" i="28"/>
  <c r="AH6" i="28"/>
  <c r="AH7" i="28" s="1"/>
  <c r="AH8" i="28" s="1"/>
  <c r="AH9" i="28" s="1"/>
  <c r="AH10" i="28" s="1"/>
  <c r="AH11" i="28" s="1"/>
  <c r="AH12" i="28" s="1"/>
  <c r="AH13" i="28" s="1"/>
  <c r="AH14" i="28" s="1"/>
  <c r="AH15" i="28" s="1"/>
  <c r="AH16" i="28" s="1"/>
  <c r="AH17" i="28" s="1"/>
  <c r="AH18" i="28" s="1"/>
  <c r="AH19" i="28" s="1"/>
  <c r="AC6" i="28"/>
  <c r="Z6" i="28"/>
  <c r="W6" i="28"/>
  <c r="S6" i="28"/>
  <c r="O6" i="28"/>
  <c r="L6" i="28"/>
  <c r="M6" i="28" s="1"/>
  <c r="M7" i="28" s="1"/>
  <c r="M8" i="28" s="1"/>
  <c r="I6" i="28"/>
  <c r="J6" i="28" s="1"/>
  <c r="E6" i="28"/>
  <c r="F6" i="28" s="1"/>
  <c r="AH5" i="28"/>
  <c r="AD5" i="28"/>
  <c r="AD6" i="28" s="1"/>
  <c r="AC5" i="28"/>
  <c r="Z5" i="28"/>
  <c r="AA5" i="28" s="1"/>
  <c r="AA6" i="28" s="1"/>
  <c r="AA7" i="28" s="1"/>
  <c r="AA8" i="28" s="1"/>
  <c r="AA9" i="28" s="1"/>
  <c r="AA10" i="28" s="1"/>
  <c r="AA11" i="28" s="1"/>
  <c r="AA12" i="28" s="1"/>
  <c r="AA13" i="28" s="1"/>
  <c r="AA14" i="28" s="1"/>
  <c r="AA15" i="28" s="1"/>
  <c r="AA16" i="28" s="1"/>
  <c r="AA17" i="28" s="1"/>
  <c r="AA18" i="28" s="1"/>
  <c r="AA19" i="28" s="1"/>
  <c r="AA20" i="28" s="1"/>
  <c r="AA21" i="28" s="1"/>
  <c r="W5" i="28"/>
  <c r="X5" i="28" s="1"/>
  <c r="S5" i="28"/>
  <c r="T5" i="28" s="1"/>
  <c r="P5" i="28"/>
  <c r="P6" i="28" s="1"/>
  <c r="O5" i="28"/>
  <c r="L5" i="28"/>
  <c r="M5" i="28" s="1"/>
  <c r="I5" i="28"/>
  <c r="J5" i="28" s="1"/>
  <c r="E5" i="28"/>
  <c r="F5" i="28" s="1"/>
  <c r="L21" i="23"/>
  <c r="E21" i="23"/>
  <c r="I21" i="23"/>
  <c r="O21" i="23"/>
  <c r="K6" i="27"/>
  <c r="K7" i="27"/>
  <c r="K8" i="27"/>
  <c r="K9" i="27"/>
  <c r="K10" i="27"/>
  <c r="K11" i="27"/>
  <c r="K12" i="27"/>
  <c r="K13" i="27"/>
  <c r="K14" i="27"/>
  <c r="K15" i="27"/>
  <c r="K16" i="27"/>
  <c r="K17" i="27"/>
  <c r="K18" i="27"/>
  <c r="K19" i="27"/>
  <c r="K20" i="27"/>
  <c r="K21" i="27"/>
  <c r="K5" i="27"/>
  <c r="I6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5" i="27"/>
  <c r="H7" i="27"/>
  <c r="H8" i="27"/>
  <c r="H9" i="27"/>
  <c r="H10" i="27" s="1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6" i="27"/>
  <c r="H5" i="27"/>
  <c r="G21" i="27"/>
  <c r="D21" i="27"/>
  <c r="G20" i="27"/>
  <c r="D20" i="27"/>
  <c r="G19" i="27"/>
  <c r="D19" i="27"/>
  <c r="G18" i="27"/>
  <c r="D18" i="27"/>
  <c r="G17" i="27"/>
  <c r="D17" i="27"/>
  <c r="G16" i="27"/>
  <c r="D16" i="27"/>
  <c r="G15" i="27"/>
  <c r="D15" i="27"/>
  <c r="G14" i="27"/>
  <c r="D14" i="27"/>
  <c r="G13" i="27"/>
  <c r="D13" i="27"/>
  <c r="G12" i="27"/>
  <c r="D12" i="27"/>
  <c r="G11" i="27"/>
  <c r="D11" i="27"/>
  <c r="G10" i="27"/>
  <c r="C10" i="27"/>
  <c r="C36" i="27" s="1"/>
  <c r="G9" i="27"/>
  <c r="D9" i="27"/>
  <c r="G8" i="27"/>
  <c r="D8" i="27"/>
  <c r="G7" i="27"/>
  <c r="D7" i="27"/>
  <c r="G6" i="27"/>
  <c r="D6" i="27"/>
  <c r="L5" i="27"/>
  <c r="G5" i="27"/>
  <c r="D5" i="27"/>
  <c r="E5" i="27" s="1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5" i="26"/>
  <c r="L5" i="26" s="1"/>
  <c r="L6" i="26" s="1"/>
  <c r="L7" i="26" s="1"/>
  <c r="L8" i="26" s="1"/>
  <c r="L9" i="26" s="1"/>
  <c r="L10" i="26" s="1"/>
  <c r="L11" i="26" s="1"/>
  <c r="L12" i="26" s="1"/>
  <c r="L13" i="26" s="1"/>
  <c r="L14" i="26" s="1"/>
  <c r="L15" i="26" s="1"/>
  <c r="L16" i="26" s="1"/>
  <c r="L17" i="26" s="1"/>
  <c r="L18" i="26" s="1"/>
  <c r="L19" i="26" s="1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5" i="26"/>
  <c r="H7" i="26"/>
  <c r="H8" i="26" s="1"/>
  <c r="H9" i="26" s="1"/>
  <c r="H10" i="26" s="1"/>
  <c r="H11" i="26" s="1"/>
  <c r="H12" i="26" s="1"/>
  <c r="H13" i="26" s="1"/>
  <c r="H14" i="26" s="1"/>
  <c r="H15" i="26" s="1"/>
  <c r="H16" i="26" s="1"/>
  <c r="H17" i="26" s="1"/>
  <c r="H18" i="26" s="1"/>
  <c r="H19" i="26" s="1"/>
  <c r="H20" i="26" s="1"/>
  <c r="H21" i="26" s="1"/>
  <c r="H6" i="26"/>
  <c r="H5" i="26"/>
  <c r="G21" i="26"/>
  <c r="D21" i="26"/>
  <c r="G20" i="26"/>
  <c r="D20" i="26"/>
  <c r="G19" i="26"/>
  <c r="D19" i="26"/>
  <c r="G18" i="26"/>
  <c r="D18" i="26"/>
  <c r="G17" i="26"/>
  <c r="D17" i="26"/>
  <c r="G16" i="26"/>
  <c r="D16" i="26"/>
  <c r="G15" i="26"/>
  <c r="D15" i="26"/>
  <c r="G14" i="26"/>
  <c r="D14" i="26"/>
  <c r="G13" i="26"/>
  <c r="D13" i="26"/>
  <c r="G12" i="26"/>
  <c r="D12" i="26"/>
  <c r="G11" i="26"/>
  <c r="D11" i="26"/>
  <c r="G10" i="26"/>
  <c r="D10" i="26"/>
  <c r="G9" i="26"/>
  <c r="C9" i="26"/>
  <c r="C36" i="26" s="1"/>
  <c r="G8" i="26"/>
  <c r="D8" i="26"/>
  <c r="G7" i="26"/>
  <c r="D7" i="26"/>
  <c r="G6" i="26"/>
  <c r="D6" i="26"/>
  <c r="G5" i="26"/>
  <c r="D5" i="26"/>
  <c r="E5" i="26" s="1"/>
  <c r="M6" i="25"/>
  <c r="M7" i="25"/>
  <c r="M8" i="25"/>
  <c r="M9" i="25"/>
  <c r="M10" i="25"/>
  <c r="M11" i="25"/>
  <c r="M12" i="25"/>
  <c r="M13" i="25"/>
  <c r="M14" i="25"/>
  <c r="M15" i="25"/>
  <c r="M16" i="25"/>
  <c r="M17" i="25"/>
  <c r="M18" i="25"/>
  <c r="M19" i="25"/>
  <c r="M20" i="25"/>
  <c r="M21" i="25"/>
  <c r="M5" i="25"/>
  <c r="N5" i="25" s="1"/>
  <c r="N6" i="25" s="1"/>
  <c r="K6" i="25"/>
  <c r="K7" i="25"/>
  <c r="K8" i="25"/>
  <c r="K9" i="25"/>
  <c r="K10" i="25"/>
  <c r="K11" i="25"/>
  <c r="K12" i="25"/>
  <c r="K13" i="25"/>
  <c r="K14" i="25"/>
  <c r="K15" i="25"/>
  <c r="K16" i="25"/>
  <c r="K17" i="25"/>
  <c r="K18" i="25"/>
  <c r="K19" i="25"/>
  <c r="K20" i="25"/>
  <c r="K21" i="25"/>
  <c r="K5" i="25"/>
  <c r="J7" i="25"/>
  <c r="J8" i="25" s="1"/>
  <c r="J9" i="25" s="1"/>
  <c r="J10" i="25" s="1"/>
  <c r="J11" i="25" s="1"/>
  <c r="J12" i="25" s="1"/>
  <c r="J13" i="25" s="1"/>
  <c r="J14" i="25" s="1"/>
  <c r="J15" i="25" s="1"/>
  <c r="J16" i="25" s="1"/>
  <c r="J17" i="25" s="1"/>
  <c r="J18" i="25" s="1"/>
  <c r="J19" i="25" s="1"/>
  <c r="J20" i="25" s="1"/>
  <c r="J21" i="25" s="1"/>
  <c r="J6" i="25"/>
  <c r="J5" i="25"/>
  <c r="D36" i="25"/>
  <c r="G21" i="25"/>
  <c r="I21" i="25" s="1"/>
  <c r="E21" i="25"/>
  <c r="H20" i="25"/>
  <c r="G20" i="25"/>
  <c r="E20" i="25"/>
  <c r="I19" i="25"/>
  <c r="E19" i="25"/>
  <c r="I18" i="25"/>
  <c r="E18" i="25"/>
  <c r="I17" i="25"/>
  <c r="E17" i="25"/>
  <c r="I16" i="25"/>
  <c r="E16" i="25"/>
  <c r="I15" i="25"/>
  <c r="E15" i="25"/>
  <c r="I14" i="25"/>
  <c r="C14" i="25"/>
  <c r="C36" i="25" s="1"/>
  <c r="I13" i="25"/>
  <c r="E13" i="25"/>
  <c r="I12" i="25"/>
  <c r="E12" i="25"/>
  <c r="I11" i="25"/>
  <c r="E11" i="25"/>
  <c r="I10" i="25"/>
  <c r="E10" i="25"/>
  <c r="I9" i="25"/>
  <c r="E9" i="25"/>
  <c r="I8" i="25"/>
  <c r="E8" i="25"/>
  <c r="I7" i="25"/>
  <c r="E7" i="25"/>
  <c r="I6" i="25"/>
  <c r="E6" i="25"/>
  <c r="I5" i="25"/>
  <c r="E5" i="25"/>
  <c r="F5" i="25" s="1"/>
  <c r="M12" i="24"/>
  <c r="K14" i="24"/>
  <c r="G20" i="24"/>
  <c r="I20" i="24" s="1"/>
  <c r="M20" i="24" s="1"/>
  <c r="E20" i="24"/>
  <c r="K20" i="24" s="1"/>
  <c r="G19" i="24"/>
  <c r="I19" i="24" s="1"/>
  <c r="M19" i="24" s="1"/>
  <c r="E19" i="24"/>
  <c r="K19" i="24" s="1"/>
  <c r="I18" i="24"/>
  <c r="M18" i="24" s="1"/>
  <c r="E18" i="24"/>
  <c r="K18" i="24" s="1"/>
  <c r="I17" i="24"/>
  <c r="M17" i="24" s="1"/>
  <c r="E17" i="24"/>
  <c r="K17" i="24" s="1"/>
  <c r="I16" i="24"/>
  <c r="M16" i="24" s="1"/>
  <c r="E16" i="24"/>
  <c r="K16" i="24" s="1"/>
  <c r="I15" i="24"/>
  <c r="M15" i="24" s="1"/>
  <c r="E15" i="24"/>
  <c r="K15" i="24" s="1"/>
  <c r="I14" i="24"/>
  <c r="M14" i="24" s="1"/>
  <c r="E14" i="24"/>
  <c r="I13" i="24"/>
  <c r="M13" i="24" s="1"/>
  <c r="E13" i="24"/>
  <c r="K13" i="24" s="1"/>
  <c r="I12" i="24"/>
  <c r="E12" i="24"/>
  <c r="K12" i="24" s="1"/>
  <c r="I11" i="24"/>
  <c r="M11" i="24" s="1"/>
  <c r="E11" i="24"/>
  <c r="K11" i="24" s="1"/>
  <c r="I10" i="24"/>
  <c r="M10" i="24" s="1"/>
  <c r="E10" i="24"/>
  <c r="K10" i="24" s="1"/>
  <c r="I9" i="24"/>
  <c r="M9" i="24" s="1"/>
  <c r="E9" i="24"/>
  <c r="K9" i="24" s="1"/>
  <c r="I8" i="24"/>
  <c r="M8" i="24" s="1"/>
  <c r="E8" i="24"/>
  <c r="K8" i="24" s="1"/>
  <c r="I7" i="24"/>
  <c r="E7" i="24"/>
  <c r="K7" i="24" s="1"/>
  <c r="I6" i="24"/>
  <c r="M6" i="24" s="1"/>
  <c r="E6" i="24"/>
  <c r="K6" i="24" s="1"/>
  <c r="I5" i="24"/>
  <c r="J5" i="24" s="1"/>
  <c r="J6" i="24" s="1"/>
  <c r="E5" i="24"/>
  <c r="K5" i="24" s="1"/>
  <c r="I4" i="24"/>
  <c r="J4" i="24" s="1"/>
  <c r="E4" i="24"/>
  <c r="F4" i="24" s="1"/>
  <c r="AE5" i="23"/>
  <c r="AI5" i="23" s="1"/>
  <c r="AE13" i="23"/>
  <c r="AI13" i="23" s="1"/>
  <c r="AC4" i="23"/>
  <c r="AD4" i="23" s="1"/>
  <c r="AC5" i="23"/>
  <c r="AC6" i="23"/>
  <c r="AC7" i="23"/>
  <c r="AC8" i="23"/>
  <c r="AC9" i="23"/>
  <c r="AC10" i="23"/>
  <c r="AC11" i="23"/>
  <c r="AC12" i="23"/>
  <c r="AC13" i="23"/>
  <c r="AC14" i="23"/>
  <c r="AC15" i="23"/>
  <c r="AC16" i="23"/>
  <c r="AC17" i="23"/>
  <c r="AC18" i="23"/>
  <c r="Z4" i="23"/>
  <c r="AA4" i="23" s="1"/>
  <c r="AA5" i="23" s="1"/>
  <c r="AA6" i="23" s="1"/>
  <c r="AA7" i="23" s="1"/>
  <c r="AA8" i="23" s="1"/>
  <c r="AA9" i="23" s="1"/>
  <c r="AA10" i="23" s="1"/>
  <c r="AA11" i="23" s="1"/>
  <c r="AA12" i="23" s="1"/>
  <c r="AA13" i="23" s="1"/>
  <c r="AA14" i="23" s="1"/>
  <c r="AA15" i="23" s="1"/>
  <c r="AA16" i="23" s="1"/>
  <c r="AA17" i="23" s="1"/>
  <c r="AA18" i="23" s="1"/>
  <c r="AA19" i="23" s="1"/>
  <c r="AA20" i="23" s="1"/>
  <c r="AA21" i="23" s="1"/>
  <c r="Z5" i="23"/>
  <c r="Z6" i="23"/>
  <c r="Z7" i="23"/>
  <c r="Z8" i="23"/>
  <c r="Z9" i="23"/>
  <c r="Z10" i="23"/>
  <c r="Z11" i="23"/>
  <c r="Z12" i="23"/>
  <c r="Z13" i="23"/>
  <c r="Z14" i="23"/>
  <c r="Z15" i="23"/>
  <c r="Z16" i="23"/>
  <c r="Z17" i="23"/>
  <c r="Z18" i="23"/>
  <c r="W4" i="23"/>
  <c r="X4" i="23" s="1"/>
  <c r="W5" i="23"/>
  <c r="X5" i="23" s="1"/>
  <c r="W6" i="23"/>
  <c r="W7" i="23"/>
  <c r="W8" i="23"/>
  <c r="W9" i="23"/>
  <c r="W10" i="23"/>
  <c r="W11" i="23"/>
  <c r="W12" i="23"/>
  <c r="W13" i="23"/>
  <c r="W14" i="23"/>
  <c r="W15" i="23"/>
  <c r="W16" i="23"/>
  <c r="W17" i="23"/>
  <c r="W18" i="23"/>
  <c r="S4" i="23"/>
  <c r="T4" i="23" s="1"/>
  <c r="S5" i="23"/>
  <c r="S6" i="23"/>
  <c r="S7" i="23"/>
  <c r="S8" i="23"/>
  <c r="S9" i="23"/>
  <c r="S10" i="23"/>
  <c r="S11" i="23"/>
  <c r="S12" i="23"/>
  <c r="S13" i="23"/>
  <c r="S14" i="23"/>
  <c r="S15" i="23"/>
  <c r="S16" i="23"/>
  <c r="S17" i="23"/>
  <c r="S18" i="23"/>
  <c r="AC19" i="23"/>
  <c r="Z19" i="23"/>
  <c r="V19" i="23"/>
  <c r="U19" i="23"/>
  <c r="Q19" i="23"/>
  <c r="S19" i="23" s="1"/>
  <c r="AC20" i="23"/>
  <c r="Z20" i="23"/>
  <c r="Q20" i="23"/>
  <c r="S20" i="23" s="1"/>
  <c r="U20" i="23"/>
  <c r="W20" i="23" s="1"/>
  <c r="O20" i="23"/>
  <c r="L20" i="23"/>
  <c r="I20" i="23"/>
  <c r="E20" i="23"/>
  <c r="AE20" i="23" s="1"/>
  <c r="O19" i="23"/>
  <c r="L19" i="23"/>
  <c r="I19" i="23"/>
  <c r="E19" i="23"/>
  <c r="AE19" i="23" s="1"/>
  <c r="O18" i="23"/>
  <c r="L18" i="23"/>
  <c r="I18" i="23"/>
  <c r="E18" i="23"/>
  <c r="AE18" i="23" s="1"/>
  <c r="AI18" i="23" s="1"/>
  <c r="O17" i="23"/>
  <c r="L17" i="23"/>
  <c r="I17" i="23"/>
  <c r="E17" i="23"/>
  <c r="AE17" i="23" s="1"/>
  <c r="AI17" i="23" s="1"/>
  <c r="O16" i="23"/>
  <c r="L16" i="23"/>
  <c r="I16" i="23"/>
  <c r="E16" i="23"/>
  <c r="AE16" i="23" s="1"/>
  <c r="AI16" i="23" s="1"/>
  <c r="O15" i="23"/>
  <c r="L15" i="23"/>
  <c r="I15" i="23"/>
  <c r="E15" i="23"/>
  <c r="AE15" i="23" s="1"/>
  <c r="AI15" i="23" s="1"/>
  <c r="O14" i="23"/>
  <c r="L14" i="23"/>
  <c r="I14" i="23"/>
  <c r="E14" i="23"/>
  <c r="AE14" i="23" s="1"/>
  <c r="AI14" i="23" s="1"/>
  <c r="O13" i="23"/>
  <c r="L13" i="23"/>
  <c r="G13" i="23"/>
  <c r="I13" i="23" s="1"/>
  <c r="E13" i="23"/>
  <c r="O12" i="23"/>
  <c r="L12" i="23"/>
  <c r="I12" i="23"/>
  <c r="E12" i="23"/>
  <c r="AE12" i="23" s="1"/>
  <c r="AI12" i="23" s="1"/>
  <c r="O11" i="23"/>
  <c r="L11" i="23"/>
  <c r="I11" i="23"/>
  <c r="E11" i="23"/>
  <c r="AE11" i="23" s="1"/>
  <c r="AI11" i="23" s="1"/>
  <c r="O10" i="23"/>
  <c r="L10" i="23"/>
  <c r="I10" i="23"/>
  <c r="E10" i="23"/>
  <c r="AE10" i="23" s="1"/>
  <c r="AI10" i="23" s="1"/>
  <c r="N9" i="23"/>
  <c r="L9" i="23"/>
  <c r="I9" i="23"/>
  <c r="E9" i="23"/>
  <c r="O8" i="23"/>
  <c r="K8" i="23"/>
  <c r="I8" i="23"/>
  <c r="E8" i="23"/>
  <c r="O7" i="23"/>
  <c r="L7" i="23"/>
  <c r="I7" i="23"/>
  <c r="E7" i="23"/>
  <c r="AE7" i="23" s="1"/>
  <c r="AI7" i="23" s="1"/>
  <c r="O6" i="23"/>
  <c r="L6" i="23"/>
  <c r="I6" i="23"/>
  <c r="E6" i="23"/>
  <c r="AE6" i="23" s="1"/>
  <c r="AI6" i="23" s="1"/>
  <c r="O5" i="23"/>
  <c r="L5" i="23"/>
  <c r="I5" i="23"/>
  <c r="E5" i="23"/>
  <c r="AH4" i="23"/>
  <c r="AH5" i="23" s="1"/>
  <c r="AH6" i="23" s="1"/>
  <c r="AH7" i="23" s="1"/>
  <c r="AH8" i="23" s="1"/>
  <c r="AH9" i="23" s="1"/>
  <c r="AH10" i="23" s="1"/>
  <c r="AH11" i="23" s="1"/>
  <c r="AH12" i="23" s="1"/>
  <c r="AH13" i="23" s="1"/>
  <c r="AH14" i="23" s="1"/>
  <c r="AH15" i="23" s="1"/>
  <c r="AH16" i="23" s="1"/>
  <c r="AH17" i="23" s="1"/>
  <c r="AH18" i="23" s="1"/>
  <c r="O4" i="23"/>
  <c r="P4" i="23" s="1"/>
  <c r="L4" i="23"/>
  <c r="M4" i="23" s="1"/>
  <c r="I4" i="23"/>
  <c r="J4" i="23" s="1"/>
  <c r="E4" i="23"/>
  <c r="F4" i="23" s="1"/>
  <c r="X6" i="23" l="1"/>
  <c r="X7" i="23" s="1"/>
  <c r="X8" i="23" s="1"/>
  <c r="X9" i="23" s="1"/>
  <c r="X10" i="23" s="1"/>
  <c r="X11" i="23" s="1"/>
  <c r="X12" i="23" s="1"/>
  <c r="X13" i="23" s="1"/>
  <c r="X14" i="23" s="1"/>
  <c r="X15" i="23" s="1"/>
  <c r="X16" i="23" s="1"/>
  <c r="X17" i="23" s="1"/>
  <c r="X18" i="23" s="1"/>
  <c r="X19" i="23" s="1"/>
  <c r="X20" i="23" s="1"/>
  <c r="X21" i="23" s="1"/>
  <c r="T6" i="23"/>
  <c r="T7" i="23" s="1"/>
  <c r="T8" i="23" s="1"/>
  <c r="T9" i="23" s="1"/>
  <c r="T10" i="23" s="1"/>
  <c r="T11" i="23" s="1"/>
  <c r="T12" i="23" s="1"/>
  <c r="T13" i="23" s="1"/>
  <c r="T14" i="23" s="1"/>
  <c r="T15" i="23" s="1"/>
  <c r="T16" i="23" s="1"/>
  <c r="T17" i="23" s="1"/>
  <c r="T18" i="23" s="1"/>
  <c r="T19" i="23" s="1"/>
  <c r="T20" i="23" s="1"/>
  <c r="T21" i="23" s="1"/>
  <c r="T5" i="23"/>
  <c r="F7" i="30"/>
  <c r="F8" i="30" s="1"/>
  <c r="F9" i="30" s="1"/>
  <c r="F10" i="30" s="1"/>
  <c r="F11" i="30" s="1"/>
  <c r="F12" i="30" s="1"/>
  <c r="F13" i="30" s="1"/>
  <c r="F14" i="30" s="1"/>
  <c r="F15" i="30" s="1"/>
  <c r="F16" i="30" s="1"/>
  <c r="F17" i="30" s="1"/>
  <c r="F18" i="30" s="1"/>
  <c r="F19" i="30" s="1"/>
  <c r="F20" i="30" s="1"/>
  <c r="F21" i="30" s="1"/>
  <c r="AI5" i="30"/>
  <c r="AI6" i="30"/>
  <c r="AG20" i="30"/>
  <c r="J7" i="30"/>
  <c r="J8" i="30" s="1"/>
  <c r="J9" i="30" s="1"/>
  <c r="J10" i="30" s="1"/>
  <c r="J11" i="30" s="1"/>
  <c r="J12" i="30" s="1"/>
  <c r="J13" i="30" s="1"/>
  <c r="J14" i="30" s="1"/>
  <c r="J15" i="30" s="1"/>
  <c r="J16" i="30" s="1"/>
  <c r="J17" i="30" s="1"/>
  <c r="J18" i="30" s="1"/>
  <c r="J19" i="30" s="1"/>
  <c r="J20" i="30" s="1"/>
  <c r="J21" i="30" s="1"/>
  <c r="AI8" i="30"/>
  <c r="AI9" i="30"/>
  <c r="AI10" i="30"/>
  <c r="AI13" i="30"/>
  <c r="AF4" i="30"/>
  <c r="AF5" i="30" s="1"/>
  <c r="AF6" i="30" s="1"/>
  <c r="AI4" i="30"/>
  <c r="AJ4" i="30" s="1"/>
  <c r="P5" i="30"/>
  <c r="P6" i="30" s="1"/>
  <c r="P7" i="30" s="1"/>
  <c r="P8" i="30" s="1"/>
  <c r="M7" i="30"/>
  <c r="M8" i="30" s="1"/>
  <c r="M9" i="30" s="1"/>
  <c r="M10" i="30" s="1"/>
  <c r="M11" i="30" s="1"/>
  <c r="M12" i="30" s="1"/>
  <c r="M13" i="30" s="1"/>
  <c r="M14" i="30" s="1"/>
  <c r="M15" i="30" s="1"/>
  <c r="M16" i="30" s="1"/>
  <c r="M17" i="30" s="1"/>
  <c r="M18" i="30" s="1"/>
  <c r="M19" i="30" s="1"/>
  <c r="M20" i="30" s="1"/>
  <c r="M21" i="30" s="1"/>
  <c r="AI14" i="30"/>
  <c r="T6" i="30"/>
  <c r="T7" i="30"/>
  <c r="T8" i="30" s="1"/>
  <c r="T9" i="30" s="1"/>
  <c r="T10" i="30" s="1"/>
  <c r="T11" i="30" s="1"/>
  <c r="AI15" i="30"/>
  <c r="AI11" i="30"/>
  <c r="X5" i="30"/>
  <c r="X6" i="30" s="1"/>
  <c r="X7" i="30"/>
  <c r="P9" i="30"/>
  <c r="P10" i="30"/>
  <c r="P11" i="30" s="1"/>
  <c r="P12" i="30" s="1"/>
  <c r="P13" i="30"/>
  <c r="P14" i="30" s="1"/>
  <c r="P15" i="30" s="1"/>
  <c r="P16" i="30" s="1"/>
  <c r="P17" i="30" s="1"/>
  <c r="P18" i="30" s="1"/>
  <c r="P19" i="30" s="1"/>
  <c r="P20" i="30" s="1"/>
  <c r="P21" i="30" s="1"/>
  <c r="M6" i="30"/>
  <c r="AI17" i="30"/>
  <c r="X8" i="30"/>
  <c r="X9" i="30" s="1"/>
  <c r="X10" i="30" s="1"/>
  <c r="X11" i="30" s="1"/>
  <c r="X12" i="30" s="1"/>
  <c r="X13" i="30" s="1"/>
  <c r="X14" i="30" s="1"/>
  <c r="X15" i="30" s="1"/>
  <c r="X16" i="30" s="1"/>
  <c r="X17" i="30" s="1"/>
  <c r="X18" i="30" s="1"/>
  <c r="X19" i="30" s="1"/>
  <c r="X20" i="30" s="1"/>
  <c r="T12" i="30"/>
  <c r="T13" i="30" s="1"/>
  <c r="T14" i="30" s="1"/>
  <c r="T15" i="30" s="1"/>
  <c r="T16" i="30" s="1"/>
  <c r="T17" i="30" s="1"/>
  <c r="T18" i="30" s="1"/>
  <c r="T19" i="30" s="1"/>
  <c r="T20" i="30" s="1"/>
  <c r="AG19" i="30"/>
  <c r="AI18" i="30"/>
  <c r="AD5" i="30"/>
  <c r="AD6" i="30" s="1"/>
  <c r="AD7" i="30" s="1"/>
  <c r="AD8" i="30" s="1"/>
  <c r="AD9" i="30" s="1"/>
  <c r="AD10" i="30" s="1"/>
  <c r="AD11" i="30" s="1"/>
  <c r="AD12" i="30" s="1"/>
  <c r="AD13" i="30" s="1"/>
  <c r="AD14" i="30" s="1"/>
  <c r="AD15" i="30" s="1"/>
  <c r="AD16" i="30" s="1"/>
  <c r="AD17" i="30" s="1"/>
  <c r="AD18" i="30" s="1"/>
  <c r="AD19" i="30" s="1"/>
  <c r="AD20" i="30" s="1"/>
  <c r="AE7" i="30"/>
  <c r="AE16" i="30"/>
  <c r="AE12" i="30"/>
  <c r="F6" i="30"/>
  <c r="AG19" i="29"/>
  <c r="X13" i="29"/>
  <c r="X14" i="29" s="1"/>
  <c r="X15" i="29" s="1"/>
  <c r="X16" i="29" s="1"/>
  <c r="X17" i="29" s="1"/>
  <c r="X18" i="29" s="1"/>
  <c r="X19" i="29" s="1"/>
  <c r="X20" i="29" s="1"/>
  <c r="AD5" i="29"/>
  <c r="AD6" i="29"/>
  <c r="AD7" i="29"/>
  <c r="AD8" i="29"/>
  <c r="AD9" i="29" s="1"/>
  <c r="AD10" i="29" s="1"/>
  <c r="AD11" i="29" s="1"/>
  <c r="AD12" i="29" s="1"/>
  <c r="AD13" i="29" s="1"/>
  <c r="AD14" i="29" s="1"/>
  <c r="AD15" i="29" s="1"/>
  <c r="AD16" i="29" s="1"/>
  <c r="AD17" i="29" s="1"/>
  <c r="AD18" i="29" s="1"/>
  <c r="AD19" i="29" s="1"/>
  <c r="AD20" i="29" s="1"/>
  <c r="AI20" i="29"/>
  <c r="AI5" i="29"/>
  <c r="AI6" i="29"/>
  <c r="AI7" i="29"/>
  <c r="AI9" i="29"/>
  <c r="AI12" i="29"/>
  <c r="AI18" i="29"/>
  <c r="M7" i="29"/>
  <c r="M8" i="29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AE8" i="29"/>
  <c r="J13" i="29"/>
  <c r="J14" i="29" s="1"/>
  <c r="J15" i="29" s="1"/>
  <c r="J16" i="29" s="1"/>
  <c r="J17" i="29" s="1"/>
  <c r="J18" i="29" s="1"/>
  <c r="J19" i="29" s="1"/>
  <c r="J20" i="29" s="1"/>
  <c r="J21" i="29" s="1"/>
  <c r="J8" i="29"/>
  <c r="J9" i="29" s="1"/>
  <c r="J10" i="29"/>
  <c r="J11" i="29" s="1"/>
  <c r="J12" i="29" s="1"/>
  <c r="AI16" i="29"/>
  <c r="P5" i="29"/>
  <c r="P6" i="29"/>
  <c r="P7" i="29"/>
  <c r="P8" i="29"/>
  <c r="P9" i="29" s="1"/>
  <c r="P10" i="29" s="1"/>
  <c r="P11" i="29" s="1"/>
  <c r="P12" i="29" s="1"/>
  <c r="P13" i="29" s="1"/>
  <c r="P14" i="29" s="1"/>
  <c r="P15" i="29" s="1"/>
  <c r="P16" i="29" s="1"/>
  <c r="P17" i="29" s="1"/>
  <c r="P18" i="29" s="1"/>
  <c r="P19" i="29" s="1"/>
  <c r="P20" i="29" s="1"/>
  <c r="P21" i="29" s="1"/>
  <c r="X10" i="29"/>
  <c r="X11" i="29" s="1"/>
  <c r="X12" i="29" s="1"/>
  <c r="AI17" i="29"/>
  <c r="T5" i="29"/>
  <c r="T6" i="29" s="1"/>
  <c r="T7" i="29" s="1"/>
  <c r="T8" i="29" s="1"/>
  <c r="T9" i="29" s="1"/>
  <c r="T10" i="29" s="1"/>
  <c r="T11" i="29" s="1"/>
  <c r="T12" i="29" s="1"/>
  <c r="T13" i="29" s="1"/>
  <c r="T14" i="29" s="1"/>
  <c r="T15" i="29" s="1"/>
  <c r="T16" i="29" s="1"/>
  <c r="T17" i="29" s="1"/>
  <c r="T18" i="29" s="1"/>
  <c r="T19" i="29" s="1"/>
  <c r="T20" i="29" s="1"/>
  <c r="AE13" i="29"/>
  <c r="AE11" i="29"/>
  <c r="AE14" i="29"/>
  <c r="F5" i="29"/>
  <c r="AE4" i="29"/>
  <c r="AE10" i="29"/>
  <c r="AE15" i="29"/>
  <c r="F6" i="29"/>
  <c r="F7" i="29" s="1"/>
  <c r="F8" i="29" s="1"/>
  <c r="F9" i="29"/>
  <c r="F10" i="29" s="1"/>
  <c r="F11" i="29" s="1"/>
  <c r="F12" i="29" s="1"/>
  <c r="F13" i="29" s="1"/>
  <c r="F14" i="29" s="1"/>
  <c r="F15" i="29" s="1"/>
  <c r="F16" i="29" s="1"/>
  <c r="F17" i="29" s="1"/>
  <c r="F18" i="29" s="1"/>
  <c r="F19" i="29" s="1"/>
  <c r="F20" i="29" s="1"/>
  <c r="F21" i="29" s="1"/>
  <c r="AD5" i="23"/>
  <c r="AD6" i="23" s="1"/>
  <c r="AD7" i="23" s="1"/>
  <c r="AD8" i="23" s="1"/>
  <c r="AD9" i="23" s="1"/>
  <c r="AD10" i="23" s="1"/>
  <c r="AD11" i="23" s="1"/>
  <c r="AD12" i="23" s="1"/>
  <c r="AD13" i="23" s="1"/>
  <c r="AD14" i="23" s="1"/>
  <c r="AD15" i="23" s="1"/>
  <c r="AD16" i="23" s="1"/>
  <c r="AD17" i="23" s="1"/>
  <c r="AD18" i="23" s="1"/>
  <c r="AD19" i="23" s="1"/>
  <c r="AD20" i="23" s="1"/>
  <c r="AD21" i="23" s="1"/>
  <c r="AE4" i="23"/>
  <c r="AI4" i="23" s="1"/>
  <c r="AD8" i="28"/>
  <c r="AD9" i="28" s="1"/>
  <c r="AD10" i="28" s="1"/>
  <c r="AD11" i="28" s="1"/>
  <c r="AD12" i="28" s="1"/>
  <c r="AD13" i="28"/>
  <c r="AD14" i="28" s="1"/>
  <c r="AD15" i="28" s="1"/>
  <c r="AD16" i="28" s="1"/>
  <c r="AD17" i="28" s="1"/>
  <c r="AD18" i="28" s="1"/>
  <c r="AD19" i="28" s="1"/>
  <c r="AD20" i="28" s="1"/>
  <c r="AD21" i="28" s="1"/>
  <c r="F7" i="28"/>
  <c r="F8" i="28" s="1"/>
  <c r="F9" i="28" s="1"/>
  <c r="F10" i="28" s="1"/>
  <c r="F11" i="28" s="1"/>
  <c r="F12" i="28" s="1"/>
  <c r="F13" i="28" s="1"/>
  <c r="F14" i="28" s="1"/>
  <c r="F15" i="28" s="1"/>
  <c r="F16" i="28" s="1"/>
  <c r="F17" i="28" s="1"/>
  <c r="F18" i="28" s="1"/>
  <c r="F19" i="28" s="1"/>
  <c r="F20" i="28" s="1"/>
  <c r="F21" i="28" s="1"/>
  <c r="F22" i="28" s="1"/>
  <c r="AI8" i="28"/>
  <c r="AI9" i="28"/>
  <c r="AI10" i="28"/>
  <c r="AE14" i="28"/>
  <c r="AI16" i="28"/>
  <c r="M9" i="28"/>
  <c r="M10" i="28" s="1"/>
  <c r="M11" i="28"/>
  <c r="M12" i="28" s="1"/>
  <c r="M13" i="28" s="1"/>
  <c r="M14" i="28"/>
  <c r="M15" i="28"/>
  <c r="M16" i="28" s="1"/>
  <c r="M17" i="28"/>
  <c r="M18" i="28" s="1"/>
  <c r="M19" i="28" s="1"/>
  <c r="M20" i="28" s="1"/>
  <c r="M21" i="28" s="1"/>
  <c r="M22" i="28" s="1"/>
  <c r="J8" i="28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T6" i="28"/>
  <c r="T7" i="28" s="1"/>
  <c r="T8" i="28" s="1"/>
  <c r="T9" i="28" s="1"/>
  <c r="T10" i="28" s="1"/>
  <c r="T11" i="28" s="1"/>
  <c r="T12" i="28" s="1"/>
  <c r="T13" i="28" s="1"/>
  <c r="T14" i="28" s="1"/>
  <c r="T15" i="28" s="1"/>
  <c r="T16" i="28" s="1"/>
  <c r="T17" i="28" s="1"/>
  <c r="T18" i="28" s="1"/>
  <c r="T19" i="28" s="1"/>
  <c r="T20" i="28" s="1"/>
  <c r="T21" i="28" s="1"/>
  <c r="P7" i="28"/>
  <c r="P8" i="28" s="1"/>
  <c r="P9" i="28" s="1"/>
  <c r="P10" i="28" s="1"/>
  <c r="P11" i="28" s="1"/>
  <c r="P12" i="28" s="1"/>
  <c r="P13" i="28" s="1"/>
  <c r="P14" i="28" s="1"/>
  <c r="P15" i="28" s="1"/>
  <c r="P16" i="28" s="1"/>
  <c r="P17" i="28" s="1"/>
  <c r="P18" i="28" s="1"/>
  <c r="P19" i="28" s="1"/>
  <c r="P20" i="28" s="1"/>
  <c r="P21" i="28" s="1"/>
  <c r="P22" i="28" s="1"/>
  <c r="X6" i="28"/>
  <c r="X7" i="28"/>
  <c r="X8" i="28" s="1"/>
  <c r="X9" i="28" s="1"/>
  <c r="X10" i="28" s="1"/>
  <c r="X11" i="28" s="1"/>
  <c r="X12" i="28" s="1"/>
  <c r="X13" i="28" s="1"/>
  <c r="X14" i="28" s="1"/>
  <c r="X15" i="28" s="1"/>
  <c r="X16" i="28" s="1"/>
  <c r="X17" i="28" s="1"/>
  <c r="X18" i="28" s="1"/>
  <c r="X19" i="28" s="1"/>
  <c r="X20" i="28" s="1"/>
  <c r="X21" i="28" s="1"/>
  <c r="AI20" i="28"/>
  <c r="AH20" i="28"/>
  <c r="AG21" i="28"/>
  <c r="AE17" i="28"/>
  <c r="AE5" i="28"/>
  <c r="AE11" i="28"/>
  <c r="AE19" i="28"/>
  <c r="AE7" i="28"/>
  <c r="AE13" i="28"/>
  <c r="AE18" i="28"/>
  <c r="AE6" i="28"/>
  <c r="AE12" i="28"/>
  <c r="AE15" i="28"/>
  <c r="J7" i="24"/>
  <c r="J8" i="24" s="1"/>
  <c r="J9" i="24" s="1"/>
  <c r="J10" i="24" s="1"/>
  <c r="J11" i="24" s="1"/>
  <c r="J12" i="24" s="1"/>
  <c r="J13" i="24" s="1"/>
  <c r="J14" i="24" s="1"/>
  <c r="J15" i="24" s="1"/>
  <c r="J16" i="24" s="1"/>
  <c r="J17" i="24" s="1"/>
  <c r="J18" i="24" s="1"/>
  <c r="J19" i="24" s="1"/>
  <c r="J20" i="24" s="1"/>
  <c r="M7" i="24"/>
  <c r="K4" i="24"/>
  <c r="M4" i="24"/>
  <c r="N4" i="24" s="1"/>
  <c r="M5" i="24"/>
  <c r="L6" i="27"/>
  <c r="L7" i="27" s="1"/>
  <c r="L8" i="27" s="1"/>
  <c r="L9" i="27" s="1"/>
  <c r="L10" i="27" s="1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L21" i="27" s="1"/>
  <c r="D10" i="27"/>
  <c r="E6" i="27"/>
  <c r="E7" i="27"/>
  <c r="E8" i="27" s="1"/>
  <c r="E9" i="27" s="1"/>
  <c r="M21" i="27"/>
  <c r="M5" i="27"/>
  <c r="N5" i="27" s="1"/>
  <c r="J5" i="27"/>
  <c r="J6" i="27" s="1"/>
  <c r="J7" i="27" s="1"/>
  <c r="J8" i="27" s="1"/>
  <c r="M13" i="27"/>
  <c r="M17" i="27"/>
  <c r="M8" i="27"/>
  <c r="M11" i="27"/>
  <c r="M19" i="27"/>
  <c r="M16" i="27"/>
  <c r="M6" i="27"/>
  <c r="M12" i="27"/>
  <c r="M18" i="27"/>
  <c r="M20" i="27"/>
  <c r="M7" i="27"/>
  <c r="L20" i="26"/>
  <c r="E6" i="26"/>
  <c r="E7" i="26"/>
  <c r="E8" i="26" s="1"/>
  <c r="D9" i="26"/>
  <c r="M9" i="26" s="1"/>
  <c r="M11" i="26"/>
  <c r="M12" i="26"/>
  <c r="M14" i="26"/>
  <c r="E9" i="26"/>
  <c r="E10" i="26" s="1"/>
  <c r="E11" i="26" s="1"/>
  <c r="E12" i="26" s="1"/>
  <c r="E13" i="26" s="1"/>
  <c r="E14" i="26" s="1"/>
  <c r="E15" i="26" s="1"/>
  <c r="E16" i="26" s="1"/>
  <c r="E17" i="26" s="1"/>
  <c r="E18" i="26" s="1"/>
  <c r="E19" i="26" s="1"/>
  <c r="E20" i="26" s="1"/>
  <c r="E21" i="26" s="1"/>
  <c r="M18" i="26"/>
  <c r="M19" i="26"/>
  <c r="M6" i="26"/>
  <c r="J6" i="26"/>
  <c r="M8" i="26"/>
  <c r="M17" i="26"/>
  <c r="M5" i="26"/>
  <c r="N5" i="26" s="1"/>
  <c r="J5" i="26"/>
  <c r="N7" i="25"/>
  <c r="N8" i="25" s="1"/>
  <c r="N9" i="25" s="1"/>
  <c r="N10" i="25" s="1"/>
  <c r="N11" i="25" s="1"/>
  <c r="N12" i="25" s="1"/>
  <c r="N13" i="25" s="1"/>
  <c r="N14" i="25" s="1"/>
  <c r="N15" i="25" s="1"/>
  <c r="N16" i="25" s="1"/>
  <c r="N17" i="25" s="1"/>
  <c r="N18" i="25" s="1"/>
  <c r="N19" i="25" s="1"/>
  <c r="I20" i="25"/>
  <c r="O20" i="25" s="1"/>
  <c r="L5" i="25"/>
  <c r="L6" i="25" s="1"/>
  <c r="F6" i="25"/>
  <c r="F7" i="25" s="1"/>
  <c r="F8" i="25" s="1"/>
  <c r="F9" i="25" s="1"/>
  <c r="F10" i="25" s="1"/>
  <c r="F11" i="25" s="1"/>
  <c r="F12" i="25" s="1"/>
  <c r="F13" i="25" s="1"/>
  <c r="E14" i="25"/>
  <c r="O14" i="25" s="1"/>
  <c r="O17" i="25"/>
  <c r="O18" i="25"/>
  <c r="O19" i="25"/>
  <c r="O6" i="25"/>
  <c r="O8" i="25"/>
  <c r="O11" i="25"/>
  <c r="O12" i="25"/>
  <c r="F5" i="24"/>
  <c r="F6" i="24"/>
  <c r="F7" i="24" s="1"/>
  <c r="F8" i="24" s="1"/>
  <c r="F9" i="24" s="1"/>
  <c r="F10" i="24" s="1"/>
  <c r="F11" i="24" s="1"/>
  <c r="F12" i="24" s="1"/>
  <c r="F13" i="24" s="1"/>
  <c r="F14" i="24" s="1"/>
  <c r="F15" i="24" s="1"/>
  <c r="F16" i="24" s="1"/>
  <c r="F17" i="24" s="1"/>
  <c r="F18" i="24" s="1"/>
  <c r="F19" i="24" s="1"/>
  <c r="F20" i="24" s="1"/>
  <c r="O11" i="24"/>
  <c r="O13" i="24"/>
  <c r="O6" i="24"/>
  <c r="O15" i="24"/>
  <c r="O18" i="24"/>
  <c r="O12" i="24"/>
  <c r="O14" i="24"/>
  <c r="O5" i="24"/>
  <c r="O20" i="24"/>
  <c r="AF4" i="23"/>
  <c r="AF5" i="23" s="1"/>
  <c r="AF6" i="23" s="1"/>
  <c r="AF7" i="23" s="1"/>
  <c r="W19" i="23"/>
  <c r="AG19" i="23" s="1"/>
  <c r="AG20" i="23"/>
  <c r="AI20" i="23" s="1"/>
  <c r="F5" i="23"/>
  <c r="F6" i="23" s="1"/>
  <c r="F7" i="23" s="1"/>
  <c r="F8" i="23" s="1"/>
  <c r="F9" i="23" s="1"/>
  <c r="F10" i="23" s="1"/>
  <c r="F11" i="23" s="1"/>
  <c r="F12" i="23" s="1"/>
  <c r="F13" i="23" s="1"/>
  <c r="F14" i="23" s="1"/>
  <c r="F15" i="23" s="1"/>
  <c r="F16" i="23" s="1"/>
  <c r="F17" i="23" s="1"/>
  <c r="F18" i="23" s="1"/>
  <c r="F19" i="23" s="1"/>
  <c r="F20" i="23" s="1"/>
  <c r="F21" i="23" s="1"/>
  <c r="F22" i="23" s="1"/>
  <c r="P5" i="23"/>
  <c r="P6" i="23" s="1"/>
  <c r="P7" i="23" s="1"/>
  <c r="P8" i="23" s="1"/>
  <c r="J5" i="23"/>
  <c r="J6" i="23" s="1"/>
  <c r="J7" i="23" s="1"/>
  <c r="J8" i="23" s="1"/>
  <c r="J9" i="23" s="1"/>
  <c r="J10" i="23" s="1"/>
  <c r="J11" i="23" s="1"/>
  <c r="J12" i="23" s="1"/>
  <c r="J13" i="23" s="1"/>
  <c r="J14" i="23" s="1"/>
  <c r="J15" i="23" s="1"/>
  <c r="J16" i="23" s="1"/>
  <c r="J17" i="23" s="1"/>
  <c r="J18" i="23" s="1"/>
  <c r="J19" i="23" s="1"/>
  <c r="J20" i="23" s="1"/>
  <c r="J21" i="23" s="1"/>
  <c r="M5" i="23"/>
  <c r="M6" i="23" s="1"/>
  <c r="M7" i="23" s="1"/>
  <c r="L8" i="23"/>
  <c r="AE8" i="23" s="1"/>
  <c r="AI8" i="23" s="1"/>
  <c r="O9" i="23"/>
  <c r="AE9" i="23" s="1"/>
  <c r="AI9" i="23" s="1"/>
  <c r="AI12" i="30" l="1"/>
  <c r="AI16" i="30"/>
  <c r="AI19" i="30"/>
  <c r="AH19" i="30"/>
  <c r="AH20" i="30" s="1"/>
  <c r="AI20" i="30"/>
  <c r="AI7" i="30"/>
  <c r="AF7" i="30"/>
  <c r="AF8" i="30" s="1"/>
  <c r="AF9" i="30" s="1"/>
  <c r="AF10" i="30" s="1"/>
  <c r="AF11" i="30" s="1"/>
  <c r="AF12" i="30" s="1"/>
  <c r="AF13" i="30" s="1"/>
  <c r="AF14" i="30" s="1"/>
  <c r="AF15" i="30" s="1"/>
  <c r="AF16" i="30" s="1"/>
  <c r="AF17" i="30" s="1"/>
  <c r="AF18" i="30" s="1"/>
  <c r="AF19" i="30" s="1"/>
  <c r="AF20" i="30" s="1"/>
  <c r="AJ5" i="30"/>
  <c r="AJ6" i="30" s="1"/>
  <c r="AI13" i="29"/>
  <c r="AI15" i="29"/>
  <c r="AI8" i="29"/>
  <c r="AI11" i="29"/>
  <c r="AI14" i="29"/>
  <c r="AI4" i="29"/>
  <c r="AJ4" i="29" s="1"/>
  <c r="AJ5" i="29" s="1"/>
  <c r="AJ6" i="29" s="1"/>
  <c r="AJ7" i="29" s="1"/>
  <c r="AF4" i="29"/>
  <c r="AF5" i="29" s="1"/>
  <c r="AF6" i="29" s="1"/>
  <c r="AF7" i="29" s="1"/>
  <c r="AF8" i="29" s="1"/>
  <c r="AF9" i="29" s="1"/>
  <c r="AF10" i="29" s="1"/>
  <c r="AF11" i="29" s="1"/>
  <c r="AF12" i="29" s="1"/>
  <c r="AF13" i="29" s="1"/>
  <c r="AF14" i="29" s="1"/>
  <c r="AF15" i="29" s="1"/>
  <c r="AF16" i="29" s="1"/>
  <c r="AF17" i="29" s="1"/>
  <c r="AF18" i="29" s="1"/>
  <c r="AF19" i="29" s="1"/>
  <c r="AF20" i="29" s="1"/>
  <c r="AH19" i="29"/>
  <c r="AH20" i="29" s="1"/>
  <c r="AI19" i="29"/>
  <c r="AI10" i="29"/>
  <c r="AH19" i="23"/>
  <c r="AH20" i="23" s="1"/>
  <c r="AI19" i="23"/>
  <c r="AF8" i="23"/>
  <c r="AF9" i="23" s="1"/>
  <c r="AF10" i="23" s="1"/>
  <c r="AF11" i="23" s="1"/>
  <c r="AF12" i="23" s="1"/>
  <c r="AF13" i="23" s="1"/>
  <c r="AF14" i="23" s="1"/>
  <c r="AF15" i="23" s="1"/>
  <c r="AF16" i="23" s="1"/>
  <c r="AF17" i="23" s="1"/>
  <c r="AF18" i="23" s="1"/>
  <c r="AI7" i="28"/>
  <c r="AI14" i="28"/>
  <c r="AI12" i="28"/>
  <c r="AI13" i="28"/>
  <c r="AI21" i="28"/>
  <c r="AH21" i="28"/>
  <c r="AI6" i="28"/>
  <c r="AI5" i="28"/>
  <c r="AJ5" i="28" s="1"/>
  <c r="AF5" i="28"/>
  <c r="AF6" i="28" s="1"/>
  <c r="AF7" i="28" s="1"/>
  <c r="AF8" i="28" s="1"/>
  <c r="AF9" i="28" s="1"/>
  <c r="AF10" i="28" s="1"/>
  <c r="AF11" i="28" s="1"/>
  <c r="AF12" i="28" s="1"/>
  <c r="AF13" i="28" s="1"/>
  <c r="AF14" i="28" s="1"/>
  <c r="AF15" i="28" s="1"/>
  <c r="AF16" i="28" s="1"/>
  <c r="AF17" i="28" s="1"/>
  <c r="AF18" i="28" s="1"/>
  <c r="AF19" i="28" s="1"/>
  <c r="AF20" i="28" s="1"/>
  <c r="AF21" i="28" s="1"/>
  <c r="AI17" i="28"/>
  <c r="AI15" i="28"/>
  <c r="AI11" i="28"/>
  <c r="AI19" i="28"/>
  <c r="AI18" i="28"/>
  <c r="N5" i="24"/>
  <c r="N6" i="24" s="1"/>
  <c r="N7" i="24" s="1"/>
  <c r="N8" i="24" s="1"/>
  <c r="N9" i="24" s="1"/>
  <c r="N10" i="24" s="1"/>
  <c r="N11" i="24" s="1"/>
  <c r="N12" i="24" s="1"/>
  <c r="N13" i="24" s="1"/>
  <c r="N14" i="24" s="1"/>
  <c r="N15" i="24" s="1"/>
  <c r="N16" i="24" s="1"/>
  <c r="N17" i="24" s="1"/>
  <c r="N18" i="24" s="1"/>
  <c r="N19" i="24" s="1"/>
  <c r="N20" i="24" s="1"/>
  <c r="E10" i="27"/>
  <c r="E11" i="27" s="1"/>
  <c r="E12" i="27" s="1"/>
  <c r="E13" i="27" s="1"/>
  <c r="E14" i="27" s="1"/>
  <c r="E15" i="27" s="1"/>
  <c r="E16" i="27" s="1"/>
  <c r="E17" i="27" s="1"/>
  <c r="E18" i="27" s="1"/>
  <c r="E19" i="27" s="1"/>
  <c r="E20" i="27" s="1"/>
  <c r="E21" i="27" s="1"/>
  <c r="M14" i="27"/>
  <c r="N6" i="27"/>
  <c r="N7" i="27" s="1"/>
  <c r="N8" i="27" s="1"/>
  <c r="M15" i="27"/>
  <c r="M10" i="27"/>
  <c r="N6" i="26"/>
  <c r="M20" i="26"/>
  <c r="M10" i="26"/>
  <c r="M16" i="26"/>
  <c r="M7" i="26"/>
  <c r="J7" i="26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M15" i="26"/>
  <c r="M13" i="26"/>
  <c r="L21" i="26"/>
  <c r="M21" i="26"/>
  <c r="O5" i="25"/>
  <c r="P5" i="25" s="1"/>
  <c r="F14" i="25"/>
  <c r="F15" i="25" s="1"/>
  <c r="F16" i="25" s="1"/>
  <c r="F17" i="25" s="1"/>
  <c r="F18" i="25" s="1"/>
  <c r="F19" i="25" s="1"/>
  <c r="F20" i="25" s="1"/>
  <c r="F21" i="25" s="1"/>
  <c r="N20" i="25"/>
  <c r="N21" i="25" s="1"/>
  <c r="O13" i="25"/>
  <c r="O16" i="25"/>
  <c r="O10" i="25"/>
  <c r="O21" i="25"/>
  <c r="L7" i="25"/>
  <c r="L8" i="25" s="1"/>
  <c r="O7" i="25"/>
  <c r="O15" i="25"/>
  <c r="O9" i="25"/>
  <c r="P6" i="25"/>
  <c r="O9" i="24"/>
  <c r="O16" i="24"/>
  <c r="O8" i="24"/>
  <c r="O19" i="24"/>
  <c r="O17" i="24"/>
  <c r="O10" i="24"/>
  <c r="O7" i="24"/>
  <c r="L4" i="24"/>
  <c r="L5" i="24" s="1"/>
  <c r="L6" i="24" s="1"/>
  <c r="L7" i="24" s="1"/>
  <c r="L8" i="24" s="1"/>
  <c r="L9" i="24" s="1"/>
  <c r="L10" i="24" s="1"/>
  <c r="L11" i="24" s="1"/>
  <c r="L12" i="24" s="1"/>
  <c r="L13" i="24" s="1"/>
  <c r="L14" i="24" s="1"/>
  <c r="L15" i="24" s="1"/>
  <c r="L16" i="24" s="1"/>
  <c r="L17" i="24" s="1"/>
  <c r="L18" i="24" s="1"/>
  <c r="L19" i="24" s="1"/>
  <c r="L20" i="24" s="1"/>
  <c r="O4" i="24"/>
  <c r="P4" i="24" s="1"/>
  <c r="P5" i="24" s="1"/>
  <c r="P6" i="24" s="1"/>
  <c r="AF19" i="23"/>
  <c r="AF20" i="23" s="1"/>
  <c r="P9" i="23"/>
  <c r="P10" i="23" s="1"/>
  <c r="P11" i="23" s="1"/>
  <c r="P12" i="23" s="1"/>
  <c r="P13" i="23" s="1"/>
  <c r="P14" i="23" s="1"/>
  <c r="P15" i="23" s="1"/>
  <c r="P16" i="23" s="1"/>
  <c r="P17" i="23" s="1"/>
  <c r="P18" i="23" s="1"/>
  <c r="P19" i="23" s="1"/>
  <c r="P20" i="23" s="1"/>
  <c r="P21" i="23" s="1"/>
  <c r="M8" i="23"/>
  <c r="M9" i="23" s="1"/>
  <c r="M10" i="23" s="1"/>
  <c r="M11" i="23" s="1"/>
  <c r="M12" i="23" s="1"/>
  <c r="M13" i="23" s="1"/>
  <c r="M14" i="23" s="1"/>
  <c r="M15" i="23" s="1"/>
  <c r="M16" i="23" s="1"/>
  <c r="M17" i="23" s="1"/>
  <c r="M18" i="23" s="1"/>
  <c r="M19" i="23" s="1"/>
  <c r="M20" i="23" s="1"/>
  <c r="M21" i="23" s="1"/>
  <c r="AJ4" i="23"/>
  <c r="AJ7" i="30" l="1"/>
  <c r="AJ8" i="30" s="1"/>
  <c r="AJ9" i="30" s="1"/>
  <c r="AJ10" i="30" s="1"/>
  <c r="AJ11" i="30" s="1"/>
  <c r="AJ12" i="30" s="1"/>
  <c r="AJ13" i="30" s="1"/>
  <c r="AJ14" i="30" s="1"/>
  <c r="AJ15" i="30" s="1"/>
  <c r="AJ16" i="30" s="1"/>
  <c r="AJ17" i="30" s="1"/>
  <c r="AJ18" i="30" s="1"/>
  <c r="AJ19" i="30" s="1"/>
  <c r="AJ20" i="30" s="1"/>
  <c r="AJ8" i="29"/>
  <c r="AJ9" i="29" s="1"/>
  <c r="AJ10" i="29" s="1"/>
  <c r="AJ11" i="29" s="1"/>
  <c r="AJ12" i="29" s="1"/>
  <c r="AJ13" i="29" s="1"/>
  <c r="AJ14" i="29" s="1"/>
  <c r="AJ15" i="29" s="1"/>
  <c r="AJ16" i="29" s="1"/>
  <c r="AJ17" i="29" s="1"/>
  <c r="AJ18" i="29" s="1"/>
  <c r="AJ19" i="29" s="1"/>
  <c r="AJ20" i="29" s="1"/>
  <c r="AJ6" i="28"/>
  <c r="AJ7" i="28" s="1"/>
  <c r="AJ8" i="28" s="1"/>
  <c r="AJ9" i="28" s="1"/>
  <c r="AJ10" i="28" s="1"/>
  <c r="AJ11" i="28" s="1"/>
  <c r="AJ12" i="28" s="1"/>
  <c r="AJ13" i="28" s="1"/>
  <c r="AJ14" i="28" s="1"/>
  <c r="AJ15" i="28" s="1"/>
  <c r="AJ16" i="28" s="1"/>
  <c r="AJ17" i="28" s="1"/>
  <c r="AJ18" i="28" s="1"/>
  <c r="AJ19" i="28" s="1"/>
  <c r="AJ20" i="28" s="1"/>
  <c r="AJ21" i="28" s="1"/>
  <c r="M9" i="27"/>
  <c r="N9" i="27" s="1"/>
  <c r="N10" i="27" s="1"/>
  <c r="N11" i="27" s="1"/>
  <c r="N12" i="27" s="1"/>
  <c r="N13" i="27" s="1"/>
  <c r="N14" i="27" s="1"/>
  <c r="N15" i="27" s="1"/>
  <c r="N16" i="27" s="1"/>
  <c r="N17" i="27" s="1"/>
  <c r="N18" i="27" s="1"/>
  <c r="N19" i="27" s="1"/>
  <c r="N20" i="27" s="1"/>
  <c r="N21" i="27" s="1"/>
  <c r="J9" i="27"/>
  <c r="J10" i="27" s="1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J21" i="27" s="1"/>
  <c r="N7" i="26"/>
  <c r="N8" i="26" s="1"/>
  <c r="N9" i="26" s="1"/>
  <c r="N10" i="26"/>
  <c r="N11" i="26" s="1"/>
  <c r="N12" i="26" s="1"/>
  <c r="N13" i="26" s="1"/>
  <c r="N14" i="26" s="1"/>
  <c r="N15" i="26" s="1"/>
  <c r="N16" i="26" s="1"/>
  <c r="N17" i="26" s="1"/>
  <c r="N18" i="26" s="1"/>
  <c r="N19" i="26" s="1"/>
  <c r="N20" i="26" s="1"/>
  <c r="N21" i="26" s="1"/>
  <c r="L9" i="25"/>
  <c r="L10" i="25" s="1"/>
  <c r="L11" i="25" s="1"/>
  <c r="L12" i="25" s="1"/>
  <c r="L13" i="25" s="1"/>
  <c r="L14" i="25" s="1"/>
  <c r="L15" i="25" s="1"/>
  <c r="L16" i="25" s="1"/>
  <c r="L17" i="25" s="1"/>
  <c r="L18" i="25" s="1"/>
  <c r="L19" i="25" s="1"/>
  <c r="L20" i="25" s="1"/>
  <c r="L21" i="25" s="1"/>
  <c r="P7" i="25"/>
  <c r="P8" i="25" s="1"/>
  <c r="P9" i="25" s="1"/>
  <c r="P10" i="25" s="1"/>
  <c r="P11" i="25" s="1"/>
  <c r="P12" i="25" s="1"/>
  <c r="P13" i="25" s="1"/>
  <c r="P14" i="25" s="1"/>
  <c r="P15" i="25" s="1"/>
  <c r="P16" i="25" s="1"/>
  <c r="P17" i="25" s="1"/>
  <c r="P18" i="25" s="1"/>
  <c r="P19" i="25" s="1"/>
  <c r="P20" i="25" s="1"/>
  <c r="P21" i="25" s="1"/>
  <c r="P7" i="24"/>
  <c r="P8" i="24" s="1"/>
  <c r="P9" i="24" s="1"/>
  <c r="P10" i="24" s="1"/>
  <c r="P11" i="24" s="1"/>
  <c r="P12" i="24" s="1"/>
  <c r="P13" i="24" s="1"/>
  <c r="P14" i="24" s="1"/>
  <c r="P15" i="24" s="1"/>
  <c r="P16" i="24" s="1"/>
  <c r="P17" i="24" s="1"/>
  <c r="P18" i="24" s="1"/>
  <c r="P19" i="24" s="1"/>
  <c r="P20" i="24" s="1"/>
  <c r="AJ5" i="23"/>
  <c r="AJ6" i="23" s="1"/>
  <c r="AJ7" i="23" s="1"/>
  <c r="AJ8" i="23" s="1"/>
  <c r="AJ9" i="23" s="1"/>
  <c r="AJ10" i="23" s="1"/>
  <c r="AJ11" i="23" s="1"/>
  <c r="AJ12" i="23" s="1"/>
  <c r="AJ13" i="23" s="1"/>
  <c r="AJ14" i="23" s="1"/>
  <c r="AJ15" i="23" s="1"/>
  <c r="AJ16" i="23" s="1"/>
  <c r="AJ17" i="23" s="1"/>
  <c r="AJ18" i="23" s="1"/>
  <c r="AJ19" i="23" s="1"/>
  <c r="AJ20" i="2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Ornellas</author>
  </authors>
  <commentList>
    <comment ref="K8" authorId="0" shapeId="0" xr:uid="{9012BD14-C2AA-419F-81EA-9B4CD72613F9}">
      <text>
        <r>
          <rPr>
            <b/>
            <sz val="9"/>
            <color indexed="81"/>
            <rFont val="Segoe UI"/>
            <family val="2"/>
          </rPr>
          <t>Houve uma transferência de 153.521,50 para esta empresa, verificar se pode ser considerada venda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9" authorId="0" shapeId="0" xr:uid="{7891B392-616E-4F62-94AB-1F226EA60E9E}">
      <text>
        <r>
          <rPr>
            <b/>
            <sz val="9"/>
            <color indexed="81"/>
            <rFont val="Segoe UI"/>
            <family val="2"/>
          </rPr>
          <t>Transferência de R$ 43.350,12</t>
        </r>
      </text>
    </comment>
    <comment ref="G13" authorId="0" shapeId="0" xr:uid="{109F4FDA-EE1A-4FBE-ADF5-0E4C25A14EA7}">
      <text>
        <r>
          <rPr>
            <b/>
            <sz val="9"/>
            <color indexed="81"/>
            <rFont val="Segoe UI"/>
            <family val="2"/>
          </rPr>
          <t>Transferência de R$ 17.000,00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Ornellas</author>
  </authors>
  <commentList>
    <comment ref="K8" authorId="0" shapeId="0" xr:uid="{3FA300F5-8D03-4744-BE7B-532D19FE15CD}">
      <text>
        <r>
          <rPr>
            <b/>
            <sz val="9"/>
            <color indexed="81"/>
            <rFont val="Segoe UI"/>
            <family val="2"/>
          </rPr>
          <t>Houve uma transferência de 153.521,50 para esta empresa, verificar se pode ser considerada venda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9" authorId="0" shapeId="0" xr:uid="{B33B7CDD-586E-4100-A776-B85A2C9BF2F7}">
      <text>
        <r>
          <rPr>
            <b/>
            <sz val="9"/>
            <color indexed="81"/>
            <rFont val="Segoe UI"/>
            <family val="2"/>
          </rPr>
          <t>Transferência de R$ 43.350,12</t>
        </r>
      </text>
    </comment>
    <comment ref="G13" authorId="0" shapeId="0" xr:uid="{973EE6BB-A52F-4720-88F9-0623DB575903}">
      <text>
        <r>
          <rPr>
            <b/>
            <sz val="9"/>
            <color indexed="81"/>
            <rFont val="Segoe UI"/>
            <family val="2"/>
          </rPr>
          <t>Transferência de R$ 17.000,00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Ornellas</author>
  </authors>
  <commentList>
    <comment ref="K8" authorId="0" shapeId="0" xr:uid="{3A31B03E-F757-419F-9041-2F0C0DCABE02}">
      <text>
        <r>
          <rPr>
            <b/>
            <sz val="9"/>
            <color indexed="81"/>
            <rFont val="Segoe UI"/>
            <family val="2"/>
          </rPr>
          <t>Houve uma transferência de 153.521,50 para esta empresa, verificar se pode ser considerada venda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9" authorId="0" shapeId="0" xr:uid="{8B741FBB-157F-4779-B72B-6C944155ECDA}">
      <text>
        <r>
          <rPr>
            <b/>
            <sz val="9"/>
            <color indexed="81"/>
            <rFont val="Segoe UI"/>
            <family val="2"/>
          </rPr>
          <t>Transferência de R$ 43.350,12</t>
        </r>
      </text>
    </comment>
    <comment ref="G13" authorId="0" shapeId="0" xr:uid="{B2A80387-C05D-493B-A57E-A96BA527038D}">
      <text>
        <r>
          <rPr>
            <b/>
            <sz val="9"/>
            <color indexed="81"/>
            <rFont val="Segoe UI"/>
            <family val="2"/>
          </rPr>
          <t>Transferência de R$ 17.000,00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Ornellas</author>
  </authors>
  <commentList>
    <comment ref="K9" authorId="0" shapeId="0" xr:uid="{A9D80B22-3E6A-4290-832D-43BC7A2B62D6}">
      <text>
        <r>
          <rPr>
            <b/>
            <sz val="9"/>
            <color indexed="81"/>
            <rFont val="Segoe UI"/>
            <family val="2"/>
          </rPr>
          <t>Houve uma transferência de 153.521,50 para esta empresa, verificar se pode ser considerada venda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N10" authorId="0" shapeId="0" xr:uid="{E507A3C3-7C8E-4D2B-9D8F-47F7DBF6AB92}">
      <text>
        <r>
          <rPr>
            <b/>
            <sz val="9"/>
            <color indexed="81"/>
            <rFont val="Segoe UI"/>
            <family val="2"/>
          </rPr>
          <t>Transferência de R$ 43.350,12</t>
        </r>
      </text>
    </comment>
    <comment ref="G14" authorId="0" shapeId="0" xr:uid="{6696A407-3DD6-40E0-8ACC-1984E21DA7CE}">
      <text>
        <r>
          <rPr>
            <b/>
            <sz val="9"/>
            <color indexed="81"/>
            <rFont val="Segoe UI"/>
            <family val="2"/>
          </rPr>
          <t>Transferência de R$ 17.000,00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Ornellas</author>
  </authors>
  <commentList>
    <comment ref="C14" authorId="0" shapeId="0" xr:uid="{CE9013F0-93E6-434D-B9FA-EEA7F19D0C73}">
      <text>
        <r>
          <rPr>
            <b/>
            <sz val="9"/>
            <color indexed="81"/>
            <rFont val="Segoe UI"/>
            <family val="2"/>
          </rPr>
          <t>Transferência de R$ 17.000,00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Ornellas</author>
  </authors>
  <commentList>
    <comment ref="C9" authorId="0" shapeId="0" xr:uid="{2BAD3693-87D7-4D29-96C1-C53C78B28B7B}">
      <text>
        <r>
          <rPr>
            <b/>
            <sz val="9"/>
            <color indexed="81"/>
            <rFont val="Segoe UI"/>
            <family val="2"/>
          </rPr>
          <t>Houve uma transferência de 153.521,50 para esta empresa, verificar se pode ser considerada venda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Ornellas</author>
  </authors>
  <commentList>
    <comment ref="C10" authorId="0" shapeId="0" xr:uid="{827782FE-2AD0-4640-812C-EE61F33704D8}">
      <text>
        <r>
          <rPr>
            <b/>
            <sz val="9"/>
            <color indexed="81"/>
            <rFont val="Segoe UI"/>
            <family val="2"/>
          </rPr>
          <t>Transferência de R$ 43.350,12</t>
        </r>
      </text>
    </comment>
  </commentList>
</comments>
</file>

<file path=xl/sharedStrings.xml><?xml version="1.0" encoding="utf-8"?>
<sst xmlns="http://schemas.openxmlformats.org/spreadsheetml/2006/main" count="510" uniqueCount="41">
  <si>
    <t>FAT</t>
  </si>
  <si>
    <t>REC</t>
  </si>
  <si>
    <t>FATURAMENTO</t>
  </si>
  <si>
    <t>RECEBIMENTO</t>
  </si>
  <si>
    <t>BS ITABUNA</t>
  </si>
  <si>
    <t>GF ILHÉUS</t>
  </si>
  <si>
    <t>FM ILHÉUS</t>
  </si>
  <si>
    <t>DOM</t>
  </si>
  <si>
    <t>SEG</t>
  </si>
  <si>
    <t>TER</t>
  </si>
  <si>
    <t>QUA</t>
  </si>
  <si>
    <t>QUI</t>
  </si>
  <si>
    <t>SEX</t>
  </si>
  <si>
    <t>SÁB</t>
  </si>
  <si>
    <t>VF COMERCIO ITABUNA</t>
  </si>
  <si>
    <t>RESULTADO</t>
  </si>
  <si>
    <t>COMERCIAL V&amp;F  CONQUISTA</t>
  </si>
  <si>
    <t>ILHÉUS</t>
  </si>
  <si>
    <t>ITABUNA</t>
  </si>
  <si>
    <t>ACUMULADO FATURAMENTO</t>
  </si>
  <si>
    <t xml:space="preserve"> F CARLOS ITAPETINGA</t>
  </si>
  <si>
    <t>ACUMULADO RECEBIMENTO</t>
  </si>
  <si>
    <t>ACUMULADO ILHÉUS</t>
  </si>
  <si>
    <t>TOTAL ILHÉUS</t>
  </si>
  <si>
    <t>TOTAL ITABUNA</t>
  </si>
  <si>
    <t>ACUMULADO ITABUNA</t>
  </si>
  <si>
    <t>ACUMULADO ITAPETINGA</t>
  </si>
  <si>
    <t>ITAPETINGA</t>
  </si>
  <si>
    <t>TOTAL ITAPETINGA</t>
  </si>
  <si>
    <t>TOTAL CONQUISTA</t>
  </si>
  <si>
    <t>ACUMULADO CONQUISTA</t>
  </si>
  <si>
    <t>CONQUISTA</t>
  </si>
  <si>
    <t>DIA</t>
  </si>
  <si>
    <t xml:space="preserve">ACUMULADO RESULTADO </t>
  </si>
  <si>
    <t xml:space="preserve">VF COMERCIO </t>
  </si>
  <si>
    <t>ACUM ILHÉUS</t>
  </si>
  <si>
    <t>ACUM ITABUNA</t>
  </si>
  <si>
    <t>ACUM ITAPETINGA</t>
  </si>
  <si>
    <t>ACUM CONQUISTA</t>
  </si>
  <si>
    <t>ACUM FAT</t>
  </si>
  <si>
    <t>ACUM 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</si>
</sst>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2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212529"/>
      <name val="Segoe UI"/>
      <family val="2"/>
    </font>
    <font>
      <sz val="9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9"/>
      <color theme="1"/>
      <name val="Aptos Narrow"/>
      <family val="2"/>
      <scheme val="minor"/>
    </font>
    <font>
      <b/>
      <sz val="9"/>
      <color rgb="FF212529"/>
      <name val="Segoe UI"/>
      <family val="2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Segoe UI"/>
      <family val="2"/>
    </font>
    <font>
      <b/>
      <sz val="8"/>
      <name val="Segoe UI"/>
      <family val="2"/>
    </font>
    <font>
      <b/>
      <sz val="16"/>
      <color theme="1"/>
      <name val="Aptos Narrow"/>
      <family val="2"/>
      <scheme val="minor"/>
    </font>
    <font>
      <b/>
      <sz val="9"/>
      <name val="Segoe UI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1" xfId="0" applyBorder="1"/>
    <xf numFmtId="4" fontId="0" fillId="0" borderId="0" xfId="0" applyNumberFormat="1"/>
    <xf numFmtId="4" fontId="0" fillId="0" borderId="1" xfId="0" applyNumberFormat="1" applyBorder="1"/>
    <xf numFmtId="16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/>
    <xf numFmtId="0" fontId="6" fillId="0" borderId="0" xfId="0" applyFont="1" applyAlignment="1">
      <alignment horizontal="center"/>
    </xf>
    <xf numFmtId="4" fontId="0" fillId="2" borderId="1" xfId="0" applyNumberFormat="1" applyFill="1" applyBorder="1"/>
    <xf numFmtId="4" fontId="11" fillId="4" borderId="1" xfId="0" applyNumberFormat="1" applyFont="1" applyFill="1" applyBorder="1" applyAlignment="1">
      <alignment horizontal="center" vertical="center" wrapText="1"/>
    </xf>
    <xf numFmtId="4" fontId="10" fillId="5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0" fillId="6" borderId="1" xfId="0" applyNumberFormat="1" applyFont="1" applyFill="1" applyBorder="1" applyAlignment="1">
      <alignment horizontal="center" vertical="center" wrapText="1"/>
    </xf>
    <xf numFmtId="4" fontId="10" fillId="3" borderId="3" xfId="0" applyNumberFormat="1" applyFont="1" applyFill="1" applyBorder="1" applyAlignment="1">
      <alignment horizontal="center" vertical="center" wrapText="1"/>
    </xf>
    <xf numFmtId="4" fontId="0" fillId="0" borderId="2" xfId="0" applyNumberFormat="1" applyBorder="1"/>
    <xf numFmtId="0" fontId="12" fillId="7" borderId="1" xfId="0" applyFont="1" applyFill="1" applyBorder="1"/>
    <xf numFmtId="4" fontId="11" fillId="10" borderId="1" xfId="0" applyNumberFormat="1" applyFont="1" applyFill="1" applyBorder="1" applyAlignment="1">
      <alignment horizontal="center" vertical="center" wrapText="1"/>
    </xf>
    <xf numFmtId="4" fontId="11" fillId="2" borderId="1" xfId="0" applyNumberFormat="1" applyFont="1" applyFill="1" applyBorder="1" applyAlignment="1">
      <alignment horizontal="center" vertical="center" wrapText="1"/>
    </xf>
    <xf numFmtId="4" fontId="13" fillId="9" borderId="3" xfId="0" applyNumberFormat="1" applyFont="1" applyFill="1" applyBorder="1" applyAlignment="1">
      <alignment horizontal="center" vertical="center" wrapText="1"/>
    </xf>
    <xf numFmtId="4" fontId="14" fillId="0" borderId="1" xfId="0" applyNumberFormat="1" applyFont="1" applyBorder="1"/>
    <xf numFmtId="0" fontId="12" fillId="5" borderId="1" xfId="0" applyFont="1" applyFill="1" applyBorder="1"/>
    <xf numFmtId="4" fontId="13" fillId="11" borderId="1" xfId="0" applyNumberFormat="1" applyFont="1" applyFill="1" applyBorder="1" applyAlignment="1">
      <alignment horizontal="center" vertical="center" wrapText="1"/>
    </xf>
    <xf numFmtId="4" fontId="10" fillId="11" borderId="1" xfId="0" applyNumberFormat="1" applyFont="1" applyFill="1" applyBorder="1" applyAlignment="1">
      <alignment horizontal="center" vertical="center" wrapText="1"/>
    </xf>
    <xf numFmtId="4" fontId="7" fillId="11" borderId="1" xfId="0" applyNumberFormat="1" applyFont="1" applyFill="1" applyBorder="1" applyAlignment="1">
      <alignment horizontal="center" vertical="center" wrapText="1"/>
    </xf>
    <xf numFmtId="4" fontId="16" fillId="0" borderId="1" xfId="0" applyNumberFormat="1" applyFont="1" applyBorder="1"/>
    <xf numFmtId="4" fontId="17" fillId="0" borderId="1" xfId="0" applyNumberFormat="1" applyFont="1" applyBorder="1"/>
    <xf numFmtId="4" fontId="18" fillId="0" borderId="1" xfId="0" applyNumberFormat="1" applyFont="1" applyBorder="1"/>
    <xf numFmtId="0" fontId="16" fillId="0" borderId="1" xfId="0" applyFont="1" applyBorder="1"/>
    <xf numFmtId="4" fontId="16" fillId="0" borderId="5" xfId="0" applyNumberFormat="1" applyFont="1" applyBorder="1"/>
    <xf numFmtId="4" fontId="16" fillId="0" borderId="0" xfId="0" applyNumberFormat="1" applyFont="1"/>
    <xf numFmtId="0" fontId="18" fillId="0" borderId="0" xfId="0" applyFont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4" fontId="8" fillId="0" borderId="5" xfId="0" applyNumberFormat="1" applyFont="1" applyBorder="1"/>
    <xf numFmtId="4" fontId="8" fillId="0" borderId="1" xfId="0" applyNumberFormat="1" applyFont="1" applyBorder="1"/>
    <xf numFmtId="4" fontId="9" fillId="0" borderId="1" xfId="0" applyNumberFormat="1" applyFont="1" applyBorder="1"/>
    <xf numFmtId="4" fontId="8" fillId="0" borderId="2" xfId="0" applyNumberFormat="1" applyFont="1" applyBorder="1"/>
    <xf numFmtId="4" fontId="8" fillId="2" borderId="1" xfId="0" applyNumberFormat="1" applyFont="1" applyFill="1" applyBorder="1"/>
    <xf numFmtId="0" fontId="8" fillId="0" borderId="1" xfId="0" applyFont="1" applyBorder="1"/>
    <xf numFmtId="4" fontId="3" fillId="0" borderId="1" xfId="0" applyNumberFormat="1" applyFont="1" applyBorder="1"/>
    <xf numFmtId="4" fontId="19" fillId="0" borderId="1" xfId="0" applyNumberFormat="1" applyFont="1" applyBorder="1"/>
    <xf numFmtId="4" fontId="6" fillId="0" borderId="1" xfId="0" applyNumberFormat="1" applyFont="1" applyBorder="1"/>
    <xf numFmtId="0" fontId="3" fillId="0" borderId="1" xfId="0" applyFont="1" applyBorder="1"/>
    <xf numFmtId="0" fontId="20" fillId="7" borderId="1" xfId="0" applyFont="1" applyFill="1" applyBorder="1"/>
    <xf numFmtId="0" fontId="20" fillId="7" borderId="1" xfId="0" applyFont="1" applyFill="1" applyBorder="1" applyAlignment="1">
      <alignment vertical="center"/>
    </xf>
    <xf numFmtId="0" fontId="6" fillId="0" borderId="5" xfId="0" applyFont="1" applyBorder="1" applyAlignment="1">
      <alignment horizontal="center"/>
    </xf>
    <xf numFmtId="0" fontId="20" fillId="7" borderId="4" xfId="0" applyFont="1" applyFill="1" applyBorder="1" applyAlignment="1">
      <alignment horizontal="center" vertical="center"/>
    </xf>
    <xf numFmtId="0" fontId="20" fillId="7" borderId="6" xfId="0" applyFont="1" applyFill="1" applyBorder="1" applyAlignment="1">
      <alignment horizontal="center" vertical="center"/>
    </xf>
    <xf numFmtId="0" fontId="20" fillId="7" borderId="7" xfId="0" applyFont="1" applyFill="1" applyBorder="1" applyAlignment="1">
      <alignment horizontal="center" vertical="center"/>
    </xf>
    <xf numFmtId="4" fontId="11" fillId="11" borderId="1" xfId="0" applyNumberFormat="1" applyFont="1" applyFill="1" applyBorder="1" applyAlignment="1">
      <alignment horizontal="center" vertical="center" wrapText="1"/>
    </xf>
    <xf numFmtId="4" fontId="10" fillId="11" borderId="1" xfId="0" applyNumberFormat="1" applyFont="1" applyFill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7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0" fillId="5" borderId="6" xfId="0" applyFont="1" applyFill="1" applyBorder="1" applyAlignment="1">
      <alignment horizontal="center" vertical="center"/>
    </xf>
    <xf numFmtId="0" fontId="20" fillId="5" borderId="7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/>
    </xf>
    <xf numFmtId="4" fontId="2" fillId="11" borderId="1" xfId="0" applyNumberFormat="1" applyFont="1" applyFill="1" applyBorder="1" applyAlignment="1">
      <alignment horizontal="center" vertical="center" wrapText="1"/>
    </xf>
    <xf numFmtId="4" fontId="10" fillId="3" borderId="3" xfId="0" applyNumberFormat="1" applyFont="1" applyFill="1" applyBorder="1" applyAlignment="1">
      <alignment horizontal="center" vertical="center" wrapText="1"/>
    </xf>
    <xf numFmtId="4" fontId="10" fillId="3" borderId="2" xfId="0" applyNumberFormat="1" applyFont="1" applyFill="1" applyBorder="1" applyAlignment="1">
      <alignment horizontal="center" vertical="center" wrapText="1"/>
    </xf>
    <xf numFmtId="4" fontId="13" fillId="9" borderId="3" xfId="0" applyNumberFormat="1" applyFont="1" applyFill="1" applyBorder="1" applyAlignment="1">
      <alignment horizontal="center" vertical="center" wrapText="1"/>
    </xf>
    <xf numFmtId="4" fontId="13" fillId="9" borderId="2" xfId="0" applyNumberFormat="1" applyFont="1" applyFill="1" applyBorder="1" applyAlignment="1">
      <alignment horizontal="center" vertical="center" wrapText="1"/>
    </xf>
    <xf numFmtId="0" fontId="20" fillId="5" borderId="4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5" borderId="7" xfId="0" applyFont="1" applyFill="1" applyBorder="1" applyAlignment="1">
      <alignment horizontal="center"/>
    </xf>
    <xf numFmtId="0" fontId="20" fillId="7" borderId="4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7" borderId="7" xfId="0" applyFont="1" applyFill="1" applyBorder="1" applyAlignment="1">
      <alignment horizontal="center"/>
    </xf>
    <xf numFmtId="0" fontId="20" fillId="9" borderId="4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9" borderId="7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5" borderId="7" xfId="0" applyFont="1" applyFill="1" applyBorder="1" applyAlignment="1">
      <alignment horizontal="center"/>
    </xf>
    <xf numFmtId="0" fontId="12" fillId="7" borderId="4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12" fillId="9" borderId="4" xfId="0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/>
    </xf>
    <xf numFmtId="0" fontId="12" fillId="9" borderId="7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5" fillId="7" borderId="4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4" fontId="13" fillId="11" borderId="1" xfId="0" applyNumberFormat="1" applyFont="1" applyFill="1" applyBorder="1" applyAlignment="1">
      <alignment horizontal="center" vertical="center" wrapText="1"/>
    </xf>
    <xf numFmtId="4" fontId="7" fillId="11" borderId="1" xfId="0" applyNumberFormat="1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/>
    </xf>
    <xf numFmtId="164" fontId="9" fillId="12" borderId="1" xfId="0" applyNumberFormat="1" applyFont="1" applyFill="1" applyBorder="1" applyAlignment="1">
      <alignment horizontal="center"/>
    </xf>
    <xf numFmtId="4" fontId="8" fillId="12" borderId="1" xfId="0" applyNumberFormat="1" applyFont="1" applyFill="1" applyBorder="1"/>
    <xf numFmtId="4" fontId="9" fillId="12" borderId="1" xfId="0" applyNumberFormat="1" applyFont="1" applyFill="1" applyBorder="1"/>
    <xf numFmtId="4" fontId="3" fillId="12" borderId="1" xfId="0" applyNumberFormat="1" applyFont="1" applyFill="1" applyBorder="1"/>
    <xf numFmtId="4" fontId="19" fillId="12" borderId="1" xfId="0" applyNumberFormat="1" applyFont="1" applyFill="1" applyBorder="1"/>
    <xf numFmtId="4" fontId="6" fillId="1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5EC0-29FC-48BA-83DA-75070D1E651F}">
  <dimension ref="A1:AJ35"/>
  <sheetViews>
    <sheetView showGridLines="0" tabSelected="1" zoomScaleNormal="100" workbookViewId="0">
      <pane xSplit="4" ySplit="3" topLeftCell="E4" activePane="bottomRight" state="frozen"/>
      <selection pane="topRight" activeCell="E1" sqref="E1"/>
      <selection pane="bottomLeft" activeCell="A5" sqref="A5"/>
      <selection pane="bottomRight" activeCell="AA13" sqref="AA13"/>
    </sheetView>
  </sheetViews>
  <sheetFormatPr defaultRowHeight="14.4" outlineLevelCol="1" x14ac:dyDescent="0.3"/>
  <cols>
    <col min="1" max="1" width="4.5546875" customWidth="1"/>
    <col min="2" max="2" width="5.6640625" customWidth="1"/>
    <col min="3" max="3" width="8.6640625" hidden="1" customWidth="1" outlineLevel="1"/>
    <col min="4" max="4" width="8.88671875" hidden="1" customWidth="1" outlineLevel="1"/>
    <col min="5" max="5" width="6.88671875" bestFit="1" customWidth="1" collapsed="1"/>
    <col min="6" max="6" width="7.6640625" bestFit="1" customWidth="1"/>
    <col min="7" max="7" width="8.88671875" hidden="1" customWidth="1" outlineLevel="1"/>
    <col min="8" max="8" width="10" hidden="1" customWidth="1" outlineLevel="1"/>
    <col min="9" max="9" width="7.109375" bestFit="1" customWidth="1" collapsed="1"/>
    <col min="10" max="10" width="7.6640625" bestFit="1" customWidth="1"/>
    <col min="11" max="11" width="9.21875" hidden="1" customWidth="1" outlineLevel="1"/>
    <col min="12" max="12" width="9.21875" bestFit="1" customWidth="1" collapsed="1"/>
    <col min="13" max="13" width="9.21875" bestFit="1" customWidth="1"/>
    <col min="14" max="14" width="9.109375" hidden="1" customWidth="1" outlineLevel="1"/>
    <col min="15" max="15" width="9.109375" bestFit="1" customWidth="1" collapsed="1"/>
    <col min="16" max="16" width="10" bestFit="1" customWidth="1"/>
    <col min="17" max="17" width="7.88671875" hidden="1" customWidth="1" outlineLevel="1"/>
    <col min="18" max="18" width="8.21875" hidden="1" customWidth="1" outlineLevel="1"/>
    <col min="19" max="19" width="6.88671875" bestFit="1" customWidth="1" collapsed="1"/>
    <col min="20" max="20" width="7.6640625" bestFit="1" customWidth="1"/>
    <col min="21" max="21" width="9.21875" hidden="1" customWidth="1" outlineLevel="1"/>
    <col min="22" max="22" width="10.44140625" hidden="1" customWidth="1" outlineLevel="1"/>
    <col min="23" max="23" width="7.109375" bestFit="1" customWidth="1" collapsed="1"/>
    <col min="24" max="24" width="7.6640625" bestFit="1" customWidth="1"/>
    <col min="25" max="25" width="9.21875" hidden="1" customWidth="1" outlineLevel="1"/>
    <col min="26" max="26" width="9.21875" bestFit="1" customWidth="1" collapsed="1"/>
    <col min="27" max="27" width="9.21875" bestFit="1" customWidth="1"/>
    <col min="28" max="28" width="12.33203125" hidden="1" customWidth="1" outlineLevel="1"/>
    <col min="29" max="29" width="9.109375" bestFit="1" customWidth="1" collapsed="1"/>
    <col min="30" max="30" width="9.109375" bestFit="1" customWidth="1"/>
    <col min="31" max="31" width="7.88671875" bestFit="1" customWidth="1"/>
    <col min="32" max="32" width="9.109375" bestFit="1" customWidth="1"/>
    <col min="33" max="33" width="7.88671875" bestFit="1" customWidth="1"/>
    <col min="34" max="34" width="9.109375" bestFit="1" customWidth="1"/>
    <col min="35" max="35" width="10.44140625" bestFit="1" customWidth="1"/>
    <col min="36" max="36" width="12.21875" customWidth="1"/>
  </cols>
  <sheetData>
    <row r="1" spans="1:36" ht="21" x14ac:dyDescent="0.4">
      <c r="C1" s="19" t="s">
        <v>2</v>
      </c>
      <c r="D1" s="19"/>
      <c r="E1" s="54" t="s">
        <v>2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6"/>
      <c r="Q1" s="44"/>
      <c r="R1" s="44"/>
      <c r="S1" s="46" t="s">
        <v>3</v>
      </c>
      <c r="T1" s="47"/>
      <c r="U1" s="47"/>
      <c r="V1" s="47"/>
      <c r="W1" s="47"/>
      <c r="X1" s="47"/>
      <c r="Y1" s="47"/>
      <c r="Z1" s="47"/>
      <c r="AA1" s="47"/>
      <c r="AB1" s="47"/>
      <c r="AC1" s="47"/>
      <c r="AD1" s="48"/>
      <c r="AE1" s="51" t="s">
        <v>15</v>
      </c>
      <c r="AF1" s="52"/>
      <c r="AG1" s="52"/>
      <c r="AH1" s="52"/>
      <c r="AI1" s="52"/>
      <c r="AJ1" s="53"/>
    </row>
    <row r="2" spans="1:36" x14ac:dyDescent="0.3">
      <c r="C2" s="57" t="s">
        <v>17</v>
      </c>
      <c r="D2" s="57"/>
      <c r="E2" s="57"/>
      <c r="F2" s="57"/>
      <c r="G2" s="45" t="s">
        <v>18</v>
      </c>
      <c r="H2" s="45"/>
      <c r="I2" s="45"/>
      <c r="J2" s="45"/>
      <c r="K2" s="57" t="s">
        <v>27</v>
      </c>
      <c r="L2" s="57"/>
      <c r="M2" s="57"/>
      <c r="N2" s="45" t="s">
        <v>31</v>
      </c>
      <c r="O2" s="45"/>
      <c r="P2" s="45"/>
      <c r="Q2" s="57" t="s">
        <v>17</v>
      </c>
      <c r="R2" s="57"/>
      <c r="S2" s="57"/>
      <c r="T2" s="57"/>
      <c r="U2" s="45" t="s">
        <v>18</v>
      </c>
      <c r="V2" s="45"/>
      <c r="W2" s="45"/>
      <c r="X2" s="45"/>
      <c r="Y2" s="57" t="s">
        <v>27</v>
      </c>
      <c r="Z2" s="57"/>
      <c r="AA2" s="57"/>
      <c r="AB2" s="45" t="s">
        <v>31</v>
      </c>
      <c r="AC2" s="45"/>
      <c r="AD2" s="45"/>
      <c r="AE2" s="49" t="s">
        <v>0</v>
      </c>
      <c r="AF2" s="50" t="s">
        <v>39</v>
      </c>
      <c r="AG2" s="58" t="s">
        <v>1</v>
      </c>
      <c r="AH2" s="50" t="s">
        <v>40</v>
      </c>
      <c r="AI2" s="59" t="s">
        <v>15</v>
      </c>
      <c r="AJ2" s="61" t="s">
        <v>33</v>
      </c>
    </row>
    <row r="3" spans="1:36" ht="34.200000000000003" x14ac:dyDescent="0.3">
      <c r="B3" s="10" t="s">
        <v>32</v>
      </c>
      <c r="C3" s="8" t="s">
        <v>5</v>
      </c>
      <c r="D3" s="8" t="s">
        <v>6</v>
      </c>
      <c r="E3" s="16" t="s">
        <v>23</v>
      </c>
      <c r="F3" s="9" t="s">
        <v>35</v>
      </c>
      <c r="G3" s="8" t="s">
        <v>4</v>
      </c>
      <c r="H3" s="8" t="s">
        <v>14</v>
      </c>
      <c r="I3" s="16" t="s">
        <v>24</v>
      </c>
      <c r="J3" s="9" t="s">
        <v>36</v>
      </c>
      <c r="K3" s="8" t="s">
        <v>20</v>
      </c>
      <c r="L3" s="16" t="s">
        <v>28</v>
      </c>
      <c r="M3" s="9" t="s">
        <v>37</v>
      </c>
      <c r="N3" s="8" t="s">
        <v>16</v>
      </c>
      <c r="O3" s="16" t="s">
        <v>29</v>
      </c>
      <c r="P3" s="9" t="s">
        <v>38</v>
      </c>
      <c r="Q3" s="8" t="s">
        <v>5</v>
      </c>
      <c r="R3" s="8" t="s">
        <v>6</v>
      </c>
      <c r="S3" s="15" t="s">
        <v>23</v>
      </c>
      <c r="T3" s="11" t="s">
        <v>35</v>
      </c>
      <c r="U3" s="8" t="s">
        <v>4</v>
      </c>
      <c r="V3" s="8" t="s">
        <v>14</v>
      </c>
      <c r="W3" s="15" t="s">
        <v>24</v>
      </c>
      <c r="X3" s="11" t="s">
        <v>36</v>
      </c>
      <c r="Y3" s="8" t="s">
        <v>20</v>
      </c>
      <c r="Z3" s="15" t="s">
        <v>28</v>
      </c>
      <c r="AA3" s="11" t="s">
        <v>37</v>
      </c>
      <c r="AB3" s="8" t="s">
        <v>16</v>
      </c>
      <c r="AC3" s="15" t="s">
        <v>29</v>
      </c>
      <c r="AD3" s="11" t="s">
        <v>38</v>
      </c>
      <c r="AE3" s="49"/>
      <c r="AF3" s="50"/>
      <c r="AG3" s="58"/>
      <c r="AH3" s="50"/>
      <c r="AI3" s="60"/>
      <c r="AJ3" s="62"/>
    </row>
    <row r="4" spans="1:36" x14ac:dyDescent="0.3">
      <c r="A4" s="31" t="s">
        <v>7</v>
      </c>
      <c r="B4" s="32">
        <v>46082</v>
      </c>
      <c r="C4" s="33">
        <v>10905</v>
      </c>
      <c r="D4" s="34">
        <v>0</v>
      </c>
      <c r="E4" s="34">
        <f>SUM(C4:D4)</f>
        <v>10905</v>
      </c>
      <c r="F4" s="35">
        <f>E4</f>
        <v>10905</v>
      </c>
      <c r="G4" s="34">
        <v>0</v>
      </c>
      <c r="H4" s="34">
        <v>0</v>
      </c>
      <c r="I4" s="34">
        <f>SUM(G4:H4)</f>
        <v>0</v>
      </c>
      <c r="J4" s="35">
        <f>I4</f>
        <v>0</v>
      </c>
      <c r="K4" s="34">
        <v>0</v>
      </c>
      <c r="L4" s="34">
        <f>K4</f>
        <v>0</v>
      </c>
      <c r="M4" s="35">
        <f>L4</f>
        <v>0</v>
      </c>
      <c r="N4" s="34">
        <v>1270</v>
      </c>
      <c r="O4" s="34">
        <f>N4</f>
        <v>1270</v>
      </c>
      <c r="P4" s="35">
        <f>O4</f>
        <v>1270</v>
      </c>
      <c r="Q4" s="34">
        <v>0</v>
      </c>
      <c r="R4" s="34">
        <v>0</v>
      </c>
      <c r="S4" s="34">
        <f t="shared" ref="S4:S6" si="0">SUM(Q4:R4)</f>
        <v>0</v>
      </c>
      <c r="T4" s="35">
        <f>S4</f>
        <v>0</v>
      </c>
      <c r="U4" s="34">
        <v>0</v>
      </c>
      <c r="V4" s="34">
        <v>0</v>
      </c>
      <c r="W4" s="34">
        <f t="shared" ref="W4:W18" si="1">SUM(U4:V4)</f>
        <v>0</v>
      </c>
      <c r="X4" s="35">
        <f>W4</f>
        <v>0</v>
      </c>
      <c r="Y4" s="36">
        <v>0</v>
      </c>
      <c r="Z4" s="34">
        <f t="shared" ref="Z4:Z18" si="2">SUM(Y4)</f>
        <v>0</v>
      </c>
      <c r="AA4" s="35">
        <f>Z4</f>
        <v>0</v>
      </c>
      <c r="AB4" s="34">
        <v>0</v>
      </c>
      <c r="AC4" s="34">
        <f t="shared" ref="AC4:AC18" si="3">SUM(AB4)</f>
        <v>0</v>
      </c>
      <c r="AD4" s="35">
        <f>AC4</f>
        <v>0</v>
      </c>
      <c r="AE4" s="39">
        <f>E4+I4+L4+O4</f>
        <v>12175</v>
      </c>
      <c r="AF4" s="40">
        <f>AE4</f>
        <v>12175</v>
      </c>
      <c r="AG4" s="39">
        <v>0</v>
      </c>
      <c r="AH4" s="41">
        <f>AG4</f>
        <v>0</v>
      </c>
      <c r="AI4" s="39">
        <f>AG4-AE4</f>
        <v>-12175</v>
      </c>
      <c r="AJ4" s="41">
        <f>AI4</f>
        <v>-12175</v>
      </c>
    </row>
    <row r="5" spans="1:36" x14ac:dyDescent="0.3">
      <c r="A5" s="31" t="s">
        <v>8</v>
      </c>
      <c r="B5" s="32">
        <v>46083</v>
      </c>
      <c r="C5" s="34">
        <v>30973</v>
      </c>
      <c r="D5" s="34">
        <v>0</v>
      </c>
      <c r="E5" s="34">
        <f t="shared" ref="E5:E20" si="4">SUM(C5:D5)</f>
        <v>30973</v>
      </c>
      <c r="F5" s="35">
        <f>E5+F4</f>
        <v>41878</v>
      </c>
      <c r="G5" s="34">
        <v>54198.39</v>
      </c>
      <c r="H5" s="34">
        <v>1063.9000000000001</v>
      </c>
      <c r="I5" s="34">
        <f t="shared" ref="I5:I20" si="5">SUM(G5:H5)</f>
        <v>55262.29</v>
      </c>
      <c r="J5" s="35">
        <f>I5+J4</f>
        <v>55262.29</v>
      </c>
      <c r="K5" s="34">
        <v>10125.89</v>
      </c>
      <c r="L5" s="34">
        <f t="shared" ref="L5:L21" si="6">K5</f>
        <v>10125.89</v>
      </c>
      <c r="M5" s="35">
        <f>L5+M4</f>
        <v>10125.89</v>
      </c>
      <c r="N5" s="34">
        <v>85733.49</v>
      </c>
      <c r="O5" s="34">
        <f t="shared" ref="O5:O22" si="7">N5</f>
        <v>85733.49</v>
      </c>
      <c r="P5" s="35">
        <f>O5+P4</f>
        <v>87003.49</v>
      </c>
      <c r="Q5" s="34">
        <f>15849.47+16105+19189</f>
        <v>51143.47</v>
      </c>
      <c r="R5" s="34">
        <v>7339.97</v>
      </c>
      <c r="S5" s="34">
        <f t="shared" si="0"/>
        <v>58483.44</v>
      </c>
      <c r="T5" s="35">
        <f>S5+T4</f>
        <v>58483.44</v>
      </c>
      <c r="U5" s="34">
        <f>23643.53+636+24971.97+4277</f>
        <v>53528.5</v>
      </c>
      <c r="V5" s="34">
        <v>744.73</v>
      </c>
      <c r="W5" s="34">
        <f t="shared" si="1"/>
        <v>54273.23</v>
      </c>
      <c r="X5" s="35">
        <f>W5+X4</f>
        <v>54273.23</v>
      </c>
      <c r="Y5" s="34">
        <f>3147.98+16449</f>
        <v>19596.98</v>
      </c>
      <c r="Z5" s="34">
        <f t="shared" si="2"/>
        <v>19596.98</v>
      </c>
      <c r="AA5" s="35">
        <f>AA4+Z5</f>
        <v>19596.98</v>
      </c>
      <c r="AB5" s="34">
        <f>10973.35+500+35919</f>
        <v>47392.35</v>
      </c>
      <c r="AC5" s="34">
        <f t="shared" si="3"/>
        <v>47392.35</v>
      </c>
      <c r="AD5" s="35">
        <f>AC5+AD4</f>
        <v>47392.35</v>
      </c>
      <c r="AE5" s="39">
        <f t="shared" ref="AE5:AE22" si="8">E5+I5+L5+O5</f>
        <v>182094.67</v>
      </c>
      <c r="AF5" s="40">
        <f>AE5+AF4</f>
        <v>194269.67</v>
      </c>
      <c r="AG5" s="39">
        <v>179722.9</v>
      </c>
      <c r="AH5" s="41">
        <f>AG5+AH4</f>
        <v>179722.9</v>
      </c>
      <c r="AI5" s="39">
        <f t="shared" ref="AI5:AI22" si="9">AG5-AE5</f>
        <v>-2371.7700000000186</v>
      </c>
      <c r="AJ5" s="41">
        <f>AI5+AJ4</f>
        <v>-14546.770000000019</v>
      </c>
    </row>
    <row r="6" spans="1:36" x14ac:dyDescent="0.3">
      <c r="A6" s="31" t="s">
        <v>9</v>
      </c>
      <c r="B6" s="32">
        <v>46084</v>
      </c>
      <c r="C6" s="34">
        <v>30381.62</v>
      </c>
      <c r="D6" s="34">
        <v>17990</v>
      </c>
      <c r="E6" s="34">
        <f t="shared" si="4"/>
        <v>48371.619999999995</v>
      </c>
      <c r="F6" s="35">
        <f t="shared" ref="F6:F20" si="10">E6+F5</f>
        <v>90249.62</v>
      </c>
      <c r="G6" s="34">
        <v>56589.09</v>
      </c>
      <c r="H6" s="34">
        <v>201.17</v>
      </c>
      <c r="I6" s="34">
        <f t="shared" si="5"/>
        <v>56790.259999999995</v>
      </c>
      <c r="J6" s="35">
        <f>I6+J5</f>
        <v>112052.54999999999</v>
      </c>
      <c r="K6" s="34">
        <v>7475.78</v>
      </c>
      <c r="L6" s="34">
        <f t="shared" si="6"/>
        <v>7475.78</v>
      </c>
      <c r="M6" s="35">
        <f t="shared" ref="M6:M20" si="11">L6+M5</f>
        <v>17601.669999999998</v>
      </c>
      <c r="N6" s="34">
        <v>29803.29</v>
      </c>
      <c r="O6" s="34">
        <f t="shared" si="7"/>
        <v>29803.29</v>
      </c>
      <c r="P6" s="35">
        <f t="shared" ref="P6:P22" si="12">O6+P5</f>
        <v>116806.78</v>
      </c>
      <c r="Q6" s="34"/>
      <c r="R6" s="34"/>
      <c r="S6" s="34">
        <f t="shared" si="0"/>
        <v>0</v>
      </c>
      <c r="T6" s="35">
        <f t="shared" ref="T6:T22" si="13">S6+T5</f>
        <v>58483.44</v>
      </c>
      <c r="U6" s="34"/>
      <c r="V6" s="34"/>
      <c r="W6" s="34">
        <f t="shared" si="1"/>
        <v>0</v>
      </c>
      <c r="X6" s="35">
        <f t="shared" ref="X6:X22" si="14">W6+X5</f>
        <v>54273.23</v>
      </c>
      <c r="Y6" s="34"/>
      <c r="Z6" s="34">
        <f t="shared" si="2"/>
        <v>0</v>
      </c>
      <c r="AA6" s="35">
        <f t="shared" ref="AA6:AA22" si="15">AA5+Z6</f>
        <v>19596.98</v>
      </c>
      <c r="AB6" s="34"/>
      <c r="AC6" s="34">
        <f t="shared" si="3"/>
        <v>0</v>
      </c>
      <c r="AD6" s="35">
        <f t="shared" ref="AD6:AD22" si="16">AC6+AD5</f>
        <v>47392.35</v>
      </c>
      <c r="AE6" s="39">
        <f t="shared" si="8"/>
        <v>142440.94999999998</v>
      </c>
      <c r="AF6" s="40">
        <f>AE6+AF5</f>
        <v>336710.62</v>
      </c>
      <c r="AG6" s="39">
        <v>89751.56</v>
      </c>
      <c r="AH6" s="41">
        <f>AG6+AH5</f>
        <v>269474.45999999996</v>
      </c>
      <c r="AI6" s="39">
        <f t="shared" si="9"/>
        <v>-52689.389999999985</v>
      </c>
      <c r="AJ6" s="41">
        <f>AI6+AJ5</f>
        <v>-67236.160000000003</v>
      </c>
    </row>
    <row r="7" spans="1:36" x14ac:dyDescent="0.3">
      <c r="A7" s="31" t="s">
        <v>10</v>
      </c>
      <c r="B7" s="32">
        <v>46085</v>
      </c>
      <c r="C7" s="34">
        <v>26375.24</v>
      </c>
      <c r="D7" s="34">
        <v>0</v>
      </c>
      <c r="E7" s="34">
        <f t="shared" si="4"/>
        <v>26375.24</v>
      </c>
      <c r="F7" s="35">
        <f t="shared" si="10"/>
        <v>116624.86</v>
      </c>
      <c r="G7" s="34">
        <v>34726</v>
      </c>
      <c r="H7" s="34">
        <v>10033.120000000001</v>
      </c>
      <c r="I7" s="34">
        <f t="shared" si="5"/>
        <v>44759.12</v>
      </c>
      <c r="J7" s="35">
        <f t="shared" ref="J7:J20" si="17">I7+J6</f>
        <v>156811.66999999998</v>
      </c>
      <c r="K7" s="34">
        <v>7858.89</v>
      </c>
      <c r="L7" s="34">
        <f t="shared" si="6"/>
        <v>7858.89</v>
      </c>
      <c r="M7" s="35">
        <f t="shared" si="11"/>
        <v>25460.559999999998</v>
      </c>
      <c r="N7" s="34">
        <v>24919.56</v>
      </c>
      <c r="O7" s="34">
        <f t="shared" si="7"/>
        <v>24919.56</v>
      </c>
      <c r="P7" s="35">
        <f t="shared" si="12"/>
        <v>141726.34</v>
      </c>
      <c r="Q7" s="34"/>
      <c r="R7" s="34"/>
      <c r="S7" s="34">
        <f t="shared" ref="S7:S19" si="18">SUM(Q7:R7)</f>
        <v>0</v>
      </c>
      <c r="T7" s="35">
        <f t="shared" si="13"/>
        <v>58483.44</v>
      </c>
      <c r="U7" s="34"/>
      <c r="V7" s="34"/>
      <c r="W7" s="34">
        <f t="shared" si="1"/>
        <v>0</v>
      </c>
      <c r="X7" s="35">
        <f t="shared" si="14"/>
        <v>54273.23</v>
      </c>
      <c r="Y7" s="34"/>
      <c r="Z7" s="34">
        <f t="shared" si="2"/>
        <v>0</v>
      </c>
      <c r="AA7" s="35">
        <f t="shared" si="15"/>
        <v>19596.98</v>
      </c>
      <c r="AB7" s="34"/>
      <c r="AC7" s="34">
        <f t="shared" si="3"/>
        <v>0</v>
      </c>
      <c r="AD7" s="35">
        <f t="shared" si="16"/>
        <v>47392.35</v>
      </c>
      <c r="AE7" s="39">
        <f t="shared" si="8"/>
        <v>103912.81</v>
      </c>
      <c r="AF7" s="40">
        <f t="shared" ref="AF7:AF22" si="19">AE7+AF6</f>
        <v>440623.43</v>
      </c>
      <c r="AG7" s="39">
        <v>72873.960000000006</v>
      </c>
      <c r="AH7" s="41">
        <f t="shared" ref="AH7:AH22" si="20">AG7+AH6</f>
        <v>342348.42</v>
      </c>
      <c r="AI7" s="39">
        <f t="shared" si="9"/>
        <v>-31038.849999999991</v>
      </c>
      <c r="AJ7" s="41">
        <f>AI7+AJ6</f>
        <v>-98275.01</v>
      </c>
    </row>
    <row r="8" spans="1:36" x14ac:dyDescent="0.3">
      <c r="A8" s="31" t="s">
        <v>11</v>
      </c>
      <c r="B8" s="32">
        <v>46086</v>
      </c>
      <c r="C8" s="34">
        <v>31634.89</v>
      </c>
      <c r="D8" s="34">
        <v>0</v>
      </c>
      <c r="E8" s="34">
        <f t="shared" si="4"/>
        <v>31634.89</v>
      </c>
      <c r="F8" s="35">
        <f t="shared" si="10"/>
        <v>148259.75</v>
      </c>
      <c r="G8" s="34">
        <v>26509.39</v>
      </c>
      <c r="H8" s="34">
        <v>12330.95</v>
      </c>
      <c r="I8" s="34">
        <f t="shared" si="5"/>
        <v>38840.339999999997</v>
      </c>
      <c r="J8" s="35">
        <f t="shared" si="17"/>
        <v>195652.00999999998</v>
      </c>
      <c r="K8" s="37">
        <f>166340.67-153521.5</f>
        <v>12819.170000000013</v>
      </c>
      <c r="L8" s="34">
        <f t="shared" si="6"/>
        <v>12819.170000000013</v>
      </c>
      <c r="M8" s="35">
        <f t="shared" si="11"/>
        <v>38279.73000000001</v>
      </c>
      <c r="N8" s="34">
        <v>24250.95</v>
      </c>
      <c r="O8" s="34">
        <f t="shared" si="7"/>
        <v>24250.95</v>
      </c>
      <c r="P8" s="35">
        <f t="shared" si="12"/>
        <v>165977.29</v>
      </c>
      <c r="Q8" s="34"/>
      <c r="R8" s="34"/>
      <c r="S8" s="34">
        <f t="shared" si="18"/>
        <v>0</v>
      </c>
      <c r="T8" s="35">
        <f t="shared" si="13"/>
        <v>58483.44</v>
      </c>
      <c r="U8" s="34"/>
      <c r="V8" s="34"/>
      <c r="W8" s="34">
        <f t="shared" si="1"/>
        <v>0</v>
      </c>
      <c r="X8" s="35">
        <f t="shared" si="14"/>
        <v>54273.23</v>
      </c>
      <c r="Y8" s="34"/>
      <c r="Z8" s="34">
        <f t="shared" si="2"/>
        <v>0</v>
      </c>
      <c r="AA8" s="35">
        <f t="shared" si="15"/>
        <v>19596.98</v>
      </c>
      <c r="AB8" s="34"/>
      <c r="AC8" s="34">
        <f t="shared" si="3"/>
        <v>0</v>
      </c>
      <c r="AD8" s="35">
        <f t="shared" si="16"/>
        <v>47392.35</v>
      </c>
      <c r="AE8" s="39">
        <f t="shared" si="8"/>
        <v>107545.35</v>
      </c>
      <c r="AF8" s="40">
        <f t="shared" si="19"/>
        <v>548168.78</v>
      </c>
      <c r="AG8" s="39">
        <v>118017.9</v>
      </c>
      <c r="AH8" s="41">
        <f t="shared" si="20"/>
        <v>460366.31999999995</v>
      </c>
      <c r="AI8" s="39">
        <f t="shared" si="9"/>
        <v>10472.549999999988</v>
      </c>
      <c r="AJ8" s="41">
        <f t="shared" ref="AJ8:AJ22" si="21">AI8+AJ7</f>
        <v>-87802.46</v>
      </c>
    </row>
    <row r="9" spans="1:36" x14ac:dyDescent="0.3">
      <c r="A9" s="31" t="s">
        <v>12</v>
      </c>
      <c r="B9" s="32">
        <v>46087</v>
      </c>
      <c r="C9" s="34">
        <v>41124.39</v>
      </c>
      <c r="D9" s="34">
        <v>0</v>
      </c>
      <c r="E9" s="34">
        <f t="shared" si="4"/>
        <v>41124.39</v>
      </c>
      <c r="F9" s="35">
        <f t="shared" si="10"/>
        <v>189384.14</v>
      </c>
      <c r="G9" s="34">
        <v>30823</v>
      </c>
      <c r="H9" s="34">
        <v>212.78</v>
      </c>
      <c r="I9" s="34">
        <f t="shared" si="5"/>
        <v>31035.78</v>
      </c>
      <c r="J9" s="35">
        <f t="shared" si="17"/>
        <v>226687.78999999998</v>
      </c>
      <c r="K9" s="34">
        <v>6139.78</v>
      </c>
      <c r="L9" s="34">
        <f t="shared" si="6"/>
        <v>6139.78</v>
      </c>
      <c r="M9" s="35">
        <f t="shared" si="11"/>
        <v>44419.510000000009</v>
      </c>
      <c r="N9" s="37">
        <f>70444.9-43350.12</f>
        <v>27094.779999999992</v>
      </c>
      <c r="O9" s="34">
        <f t="shared" si="7"/>
        <v>27094.779999999992</v>
      </c>
      <c r="P9" s="35">
        <f t="shared" si="12"/>
        <v>193072.07</v>
      </c>
      <c r="Q9" s="34"/>
      <c r="R9" s="34"/>
      <c r="S9" s="34">
        <f t="shared" si="18"/>
        <v>0</v>
      </c>
      <c r="T9" s="35">
        <f t="shared" si="13"/>
        <v>58483.44</v>
      </c>
      <c r="U9" s="34"/>
      <c r="V9" s="34"/>
      <c r="W9" s="34">
        <f t="shared" si="1"/>
        <v>0</v>
      </c>
      <c r="X9" s="35">
        <f t="shared" si="14"/>
        <v>54273.23</v>
      </c>
      <c r="Y9" s="34"/>
      <c r="Z9" s="34">
        <f t="shared" si="2"/>
        <v>0</v>
      </c>
      <c r="AA9" s="35">
        <f t="shared" si="15"/>
        <v>19596.98</v>
      </c>
      <c r="AB9" s="34"/>
      <c r="AC9" s="34">
        <f t="shared" si="3"/>
        <v>0</v>
      </c>
      <c r="AD9" s="35">
        <f t="shared" si="16"/>
        <v>47392.35</v>
      </c>
      <c r="AE9" s="39">
        <f t="shared" si="8"/>
        <v>105394.72999999998</v>
      </c>
      <c r="AF9" s="40">
        <f t="shared" si="19"/>
        <v>653563.51</v>
      </c>
      <c r="AG9" s="39">
        <v>96279.26</v>
      </c>
      <c r="AH9" s="41">
        <f t="shared" si="20"/>
        <v>556645.57999999996</v>
      </c>
      <c r="AI9" s="39">
        <f t="shared" si="9"/>
        <v>-9115.4699999999866</v>
      </c>
      <c r="AJ9" s="41">
        <f t="shared" si="21"/>
        <v>-96917.93</v>
      </c>
    </row>
    <row r="10" spans="1:36" x14ac:dyDescent="0.3">
      <c r="A10" s="31" t="s">
        <v>13</v>
      </c>
      <c r="B10" s="89">
        <v>46088</v>
      </c>
      <c r="C10" s="90">
        <v>26927.89</v>
      </c>
      <c r="D10" s="90">
        <v>0</v>
      </c>
      <c r="E10" s="90">
        <f t="shared" si="4"/>
        <v>26927.89</v>
      </c>
      <c r="F10" s="91">
        <f t="shared" si="10"/>
        <v>216312.03000000003</v>
      </c>
      <c r="G10" s="90">
        <v>62281.39</v>
      </c>
      <c r="H10" s="90">
        <v>106.39</v>
      </c>
      <c r="I10" s="90">
        <f t="shared" si="5"/>
        <v>62387.78</v>
      </c>
      <c r="J10" s="91">
        <f t="shared" si="17"/>
        <v>289075.56999999995</v>
      </c>
      <c r="K10" s="90">
        <v>4375.8900000000003</v>
      </c>
      <c r="L10" s="90">
        <f t="shared" si="6"/>
        <v>4375.8900000000003</v>
      </c>
      <c r="M10" s="91">
        <f t="shared" si="11"/>
        <v>48795.400000000009</v>
      </c>
      <c r="N10" s="90">
        <v>36613.39</v>
      </c>
      <c r="O10" s="90">
        <f t="shared" si="7"/>
        <v>36613.39</v>
      </c>
      <c r="P10" s="91">
        <f t="shared" si="12"/>
        <v>229685.46000000002</v>
      </c>
      <c r="Q10" s="90">
        <v>0</v>
      </c>
      <c r="R10" s="90">
        <v>0</v>
      </c>
      <c r="S10" s="90">
        <f t="shared" si="18"/>
        <v>0</v>
      </c>
      <c r="T10" s="91">
        <f t="shared" si="13"/>
        <v>58483.44</v>
      </c>
      <c r="U10" s="90">
        <v>0</v>
      </c>
      <c r="V10" s="90">
        <v>0</v>
      </c>
      <c r="W10" s="90">
        <f t="shared" si="1"/>
        <v>0</v>
      </c>
      <c r="X10" s="91">
        <f t="shared" si="14"/>
        <v>54273.23</v>
      </c>
      <c r="Y10" s="90">
        <v>0</v>
      </c>
      <c r="Z10" s="90">
        <f t="shared" si="2"/>
        <v>0</v>
      </c>
      <c r="AA10" s="91">
        <f t="shared" si="15"/>
        <v>19596.98</v>
      </c>
      <c r="AB10" s="90">
        <v>0</v>
      </c>
      <c r="AC10" s="90">
        <f t="shared" si="3"/>
        <v>0</v>
      </c>
      <c r="AD10" s="91">
        <f t="shared" si="16"/>
        <v>47392.35</v>
      </c>
      <c r="AE10" s="92">
        <f t="shared" si="8"/>
        <v>130304.95</v>
      </c>
      <c r="AF10" s="93">
        <f t="shared" si="19"/>
        <v>783868.46</v>
      </c>
      <c r="AG10" s="92">
        <v>0</v>
      </c>
      <c r="AH10" s="94">
        <f t="shared" si="20"/>
        <v>556645.57999999996</v>
      </c>
      <c r="AI10" s="92">
        <f t="shared" si="9"/>
        <v>-130304.95</v>
      </c>
      <c r="AJ10" s="94">
        <f t="shared" si="21"/>
        <v>-227222.88</v>
      </c>
    </row>
    <row r="11" spans="1:36" x14ac:dyDescent="0.3">
      <c r="A11" s="31" t="s">
        <v>7</v>
      </c>
      <c r="B11" s="32">
        <v>46089</v>
      </c>
      <c r="C11" s="34">
        <v>7999</v>
      </c>
      <c r="D11" s="34">
        <v>0</v>
      </c>
      <c r="E11" s="34">
        <f t="shared" si="4"/>
        <v>7999</v>
      </c>
      <c r="F11" s="35">
        <f t="shared" si="10"/>
        <v>224311.03000000003</v>
      </c>
      <c r="G11" s="34">
        <v>0</v>
      </c>
      <c r="H11" s="34">
        <v>0</v>
      </c>
      <c r="I11" s="34">
        <f t="shared" si="5"/>
        <v>0</v>
      </c>
      <c r="J11" s="35">
        <f t="shared" si="17"/>
        <v>289075.56999999995</v>
      </c>
      <c r="K11" s="34">
        <v>0</v>
      </c>
      <c r="L11" s="34">
        <f t="shared" si="6"/>
        <v>0</v>
      </c>
      <c r="M11" s="35">
        <f t="shared" si="11"/>
        <v>48795.400000000009</v>
      </c>
      <c r="N11" s="34">
        <v>5946.39</v>
      </c>
      <c r="O11" s="34">
        <f t="shared" si="7"/>
        <v>5946.39</v>
      </c>
      <c r="P11" s="35">
        <f t="shared" si="12"/>
        <v>235631.85000000003</v>
      </c>
      <c r="Q11" s="34">
        <v>0</v>
      </c>
      <c r="R11" s="34">
        <v>0</v>
      </c>
      <c r="S11" s="34">
        <f t="shared" si="18"/>
        <v>0</v>
      </c>
      <c r="T11" s="35">
        <f t="shared" si="13"/>
        <v>58483.44</v>
      </c>
      <c r="U11" s="34">
        <v>0</v>
      </c>
      <c r="V11" s="34">
        <v>0</v>
      </c>
      <c r="W11" s="34">
        <f t="shared" si="1"/>
        <v>0</v>
      </c>
      <c r="X11" s="35">
        <f t="shared" si="14"/>
        <v>54273.23</v>
      </c>
      <c r="Y11" s="34">
        <v>0</v>
      </c>
      <c r="Z11" s="34">
        <f t="shared" si="2"/>
        <v>0</v>
      </c>
      <c r="AA11" s="35">
        <f t="shared" si="15"/>
        <v>19596.98</v>
      </c>
      <c r="AB11" s="34">
        <v>0</v>
      </c>
      <c r="AC11" s="34">
        <f t="shared" si="3"/>
        <v>0</v>
      </c>
      <c r="AD11" s="35">
        <f t="shared" si="16"/>
        <v>47392.35</v>
      </c>
      <c r="AE11" s="39">
        <f t="shared" si="8"/>
        <v>13945.39</v>
      </c>
      <c r="AF11" s="40">
        <f t="shared" si="19"/>
        <v>797813.85</v>
      </c>
      <c r="AG11" s="39">
        <v>0</v>
      </c>
      <c r="AH11" s="41">
        <f t="shared" si="20"/>
        <v>556645.57999999996</v>
      </c>
      <c r="AI11" s="39">
        <f t="shared" si="9"/>
        <v>-13945.39</v>
      </c>
      <c r="AJ11" s="41">
        <f t="shared" si="21"/>
        <v>-241168.27000000002</v>
      </c>
    </row>
    <row r="12" spans="1:36" x14ac:dyDescent="0.3">
      <c r="A12" s="31" t="s">
        <v>8</v>
      </c>
      <c r="B12" s="32">
        <v>46090</v>
      </c>
      <c r="C12" s="34">
        <v>21148.17</v>
      </c>
      <c r="D12" s="34">
        <v>0</v>
      </c>
      <c r="E12" s="34">
        <f t="shared" si="4"/>
        <v>21148.17</v>
      </c>
      <c r="F12" s="35">
        <f t="shared" si="10"/>
        <v>245459.20000000001</v>
      </c>
      <c r="G12" s="34">
        <v>46453</v>
      </c>
      <c r="H12" s="34">
        <v>744.73</v>
      </c>
      <c r="I12" s="34">
        <f t="shared" si="5"/>
        <v>47197.73</v>
      </c>
      <c r="J12" s="35">
        <f t="shared" si="17"/>
        <v>336273.29999999993</v>
      </c>
      <c r="K12" s="34">
        <v>10505</v>
      </c>
      <c r="L12" s="34">
        <f t="shared" si="6"/>
        <v>10505</v>
      </c>
      <c r="M12" s="35">
        <f t="shared" si="11"/>
        <v>59300.400000000009</v>
      </c>
      <c r="N12" s="34">
        <v>19601.169999999998</v>
      </c>
      <c r="O12" s="34">
        <f t="shared" si="7"/>
        <v>19601.169999999998</v>
      </c>
      <c r="P12" s="35">
        <f t="shared" si="12"/>
        <v>255233.02000000002</v>
      </c>
      <c r="Q12" s="34"/>
      <c r="R12" s="34"/>
      <c r="S12" s="34">
        <f t="shared" si="18"/>
        <v>0</v>
      </c>
      <c r="T12" s="35">
        <f t="shared" si="13"/>
        <v>58483.44</v>
      </c>
      <c r="U12" s="34"/>
      <c r="V12" s="34"/>
      <c r="W12" s="34">
        <f t="shared" si="1"/>
        <v>0</v>
      </c>
      <c r="X12" s="35">
        <f t="shared" si="14"/>
        <v>54273.23</v>
      </c>
      <c r="Y12" s="34"/>
      <c r="Z12" s="34">
        <f t="shared" si="2"/>
        <v>0</v>
      </c>
      <c r="AA12" s="35">
        <f t="shared" si="15"/>
        <v>19596.98</v>
      </c>
      <c r="AB12" s="34"/>
      <c r="AC12" s="34">
        <f t="shared" si="3"/>
        <v>0</v>
      </c>
      <c r="AD12" s="35">
        <f t="shared" si="16"/>
        <v>47392.35</v>
      </c>
      <c r="AE12" s="39">
        <f t="shared" si="8"/>
        <v>98452.069999999992</v>
      </c>
      <c r="AF12" s="40">
        <f t="shared" si="19"/>
        <v>896265.91999999993</v>
      </c>
      <c r="AG12" s="39">
        <v>165603.78</v>
      </c>
      <c r="AH12" s="41">
        <f t="shared" si="20"/>
        <v>722249.36</v>
      </c>
      <c r="AI12" s="39">
        <f t="shared" si="9"/>
        <v>67151.710000000006</v>
      </c>
      <c r="AJ12" s="41">
        <f t="shared" si="21"/>
        <v>-174016.56</v>
      </c>
    </row>
    <row r="13" spans="1:36" x14ac:dyDescent="0.3">
      <c r="A13" s="31" t="s">
        <v>9</v>
      </c>
      <c r="B13" s="32">
        <v>46091</v>
      </c>
      <c r="C13" s="34">
        <v>34271.29</v>
      </c>
      <c r="D13" s="34">
        <v>0</v>
      </c>
      <c r="E13" s="34">
        <f t="shared" si="4"/>
        <v>34271.29</v>
      </c>
      <c r="F13" s="35">
        <f t="shared" si="10"/>
        <v>279730.49</v>
      </c>
      <c r="G13" s="37">
        <f>71492.87-17000</f>
        <v>54492.869999999995</v>
      </c>
      <c r="H13" s="34">
        <v>5961.95</v>
      </c>
      <c r="I13" s="34">
        <f t="shared" si="5"/>
        <v>60454.819999999992</v>
      </c>
      <c r="J13" s="35">
        <f t="shared" si="17"/>
        <v>396728.11999999994</v>
      </c>
      <c r="K13" s="34">
        <v>9482.2800000000007</v>
      </c>
      <c r="L13" s="34">
        <f t="shared" si="6"/>
        <v>9482.2800000000007</v>
      </c>
      <c r="M13" s="35">
        <f t="shared" si="11"/>
        <v>68782.680000000008</v>
      </c>
      <c r="N13" s="34">
        <v>27712.78</v>
      </c>
      <c r="O13" s="34">
        <f t="shared" si="7"/>
        <v>27712.78</v>
      </c>
      <c r="P13" s="35">
        <f t="shared" si="12"/>
        <v>282945.80000000005</v>
      </c>
      <c r="Q13" s="34"/>
      <c r="R13" s="34"/>
      <c r="S13" s="34">
        <f t="shared" si="18"/>
        <v>0</v>
      </c>
      <c r="T13" s="35">
        <f t="shared" si="13"/>
        <v>58483.44</v>
      </c>
      <c r="U13" s="34"/>
      <c r="V13" s="34"/>
      <c r="W13" s="34">
        <f t="shared" si="1"/>
        <v>0</v>
      </c>
      <c r="X13" s="35">
        <f t="shared" si="14"/>
        <v>54273.23</v>
      </c>
      <c r="Y13" s="34"/>
      <c r="Z13" s="34">
        <f t="shared" si="2"/>
        <v>0</v>
      </c>
      <c r="AA13" s="35">
        <f t="shared" si="15"/>
        <v>19596.98</v>
      </c>
      <c r="AB13" s="34"/>
      <c r="AC13" s="34">
        <f t="shared" si="3"/>
        <v>0</v>
      </c>
      <c r="AD13" s="35">
        <f t="shared" si="16"/>
        <v>47392.35</v>
      </c>
      <c r="AE13" s="39">
        <f t="shared" si="8"/>
        <v>131921.16999999998</v>
      </c>
      <c r="AF13" s="40">
        <f t="shared" si="19"/>
        <v>1028187.0899999999</v>
      </c>
      <c r="AG13" s="39">
        <v>126688.25</v>
      </c>
      <c r="AH13" s="41">
        <f t="shared" si="20"/>
        <v>848937.61</v>
      </c>
      <c r="AI13" s="39">
        <f t="shared" si="9"/>
        <v>-5232.9199999999837</v>
      </c>
      <c r="AJ13" s="41">
        <f t="shared" si="21"/>
        <v>-179249.47999999998</v>
      </c>
    </row>
    <row r="14" spans="1:36" x14ac:dyDescent="0.3">
      <c r="A14" s="31" t="s">
        <v>10</v>
      </c>
      <c r="B14" s="32">
        <v>46092</v>
      </c>
      <c r="C14" s="34">
        <v>33376.5</v>
      </c>
      <c r="D14" s="34">
        <v>0</v>
      </c>
      <c r="E14" s="34">
        <f t="shared" si="4"/>
        <v>33376.5</v>
      </c>
      <c r="F14" s="35">
        <f t="shared" si="10"/>
        <v>313106.99</v>
      </c>
      <c r="G14" s="34">
        <v>23570.39</v>
      </c>
      <c r="H14" s="34">
        <v>11428.67</v>
      </c>
      <c r="I14" s="34">
        <f t="shared" si="5"/>
        <v>34999.06</v>
      </c>
      <c r="J14" s="35">
        <f t="shared" si="17"/>
        <v>431727.17999999993</v>
      </c>
      <c r="K14" s="34">
        <v>8377.89</v>
      </c>
      <c r="L14" s="34">
        <f t="shared" si="6"/>
        <v>8377.89</v>
      </c>
      <c r="M14" s="35">
        <f t="shared" si="11"/>
        <v>77160.570000000007</v>
      </c>
      <c r="N14" s="34">
        <v>62571.95</v>
      </c>
      <c r="O14" s="34">
        <f t="shared" si="7"/>
        <v>62571.95</v>
      </c>
      <c r="P14" s="35">
        <f t="shared" si="12"/>
        <v>345517.75000000006</v>
      </c>
      <c r="Q14" s="34"/>
      <c r="R14" s="34"/>
      <c r="S14" s="34">
        <f t="shared" si="18"/>
        <v>0</v>
      </c>
      <c r="T14" s="35">
        <f t="shared" si="13"/>
        <v>58483.44</v>
      </c>
      <c r="U14" s="34"/>
      <c r="V14" s="34"/>
      <c r="W14" s="34">
        <f t="shared" si="1"/>
        <v>0</v>
      </c>
      <c r="X14" s="35">
        <f t="shared" si="14"/>
        <v>54273.23</v>
      </c>
      <c r="Y14" s="34"/>
      <c r="Z14" s="34">
        <f t="shared" si="2"/>
        <v>0</v>
      </c>
      <c r="AA14" s="35">
        <f t="shared" si="15"/>
        <v>19596.98</v>
      </c>
      <c r="AB14" s="34"/>
      <c r="AC14" s="34">
        <f t="shared" si="3"/>
        <v>0</v>
      </c>
      <c r="AD14" s="35">
        <f t="shared" si="16"/>
        <v>47392.35</v>
      </c>
      <c r="AE14" s="39">
        <f>E14+I14+L14+O14</f>
        <v>139325.4</v>
      </c>
      <c r="AF14" s="40">
        <f t="shared" si="19"/>
        <v>1167512.4899999998</v>
      </c>
      <c r="AG14" s="39">
        <v>94669.97</v>
      </c>
      <c r="AH14" s="41">
        <f t="shared" si="20"/>
        <v>943607.58</v>
      </c>
      <c r="AI14" s="39">
        <f t="shared" si="9"/>
        <v>-44655.429999999993</v>
      </c>
      <c r="AJ14" s="41">
        <f t="shared" si="21"/>
        <v>-223904.90999999997</v>
      </c>
    </row>
    <row r="15" spans="1:36" x14ac:dyDescent="0.3">
      <c r="A15" s="31" t="s">
        <v>11</v>
      </c>
      <c r="B15" s="32">
        <v>46093</v>
      </c>
      <c r="C15" s="34">
        <v>24563</v>
      </c>
      <c r="D15" s="34">
        <v>0</v>
      </c>
      <c r="E15" s="34">
        <f t="shared" si="4"/>
        <v>24563</v>
      </c>
      <c r="F15" s="35">
        <f t="shared" si="10"/>
        <v>337669.99</v>
      </c>
      <c r="G15" s="34">
        <v>54115.39</v>
      </c>
      <c r="H15" s="34">
        <v>531.95000000000005</v>
      </c>
      <c r="I15" s="34">
        <f t="shared" si="5"/>
        <v>54647.34</v>
      </c>
      <c r="J15" s="35">
        <f t="shared" si="17"/>
        <v>486374.5199999999</v>
      </c>
      <c r="K15" s="34">
        <v>5084.8900000000003</v>
      </c>
      <c r="L15" s="34">
        <f t="shared" si="6"/>
        <v>5084.8900000000003</v>
      </c>
      <c r="M15" s="35">
        <f t="shared" si="11"/>
        <v>82245.460000000006</v>
      </c>
      <c r="N15" s="34">
        <v>25384</v>
      </c>
      <c r="O15" s="34">
        <f t="shared" si="7"/>
        <v>25384</v>
      </c>
      <c r="P15" s="35">
        <f t="shared" si="12"/>
        <v>370901.75000000006</v>
      </c>
      <c r="Q15" s="34"/>
      <c r="R15" s="34"/>
      <c r="S15" s="34">
        <f t="shared" si="18"/>
        <v>0</v>
      </c>
      <c r="T15" s="35">
        <f t="shared" si="13"/>
        <v>58483.44</v>
      </c>
      <c r="U15" s="34"/>
      <c r="V15" s="34"/>
      <c r="W15" s="34">
        <f t="shared" si="1"/>
        <v>0</v>
      </c>
      <c r="X15" s="35">
        <f t="shared" si="14"/>
        <v>54273.23</v>
      </c>
      <c r="Y15" s="34"/>
      <c r="Z15" s="34">
        <f t="shared" si="2"/>
        <v>0</v>
      </c>
      <c r="AA15" s="35">
        <f t="shared" si="15"/>
        <v>19596.98</v>
      </c>
      <c r="AB15" s="34"/>
      <c r="AC15" s="34">
        <f t="shared" si="3"/>
        <v>0</v>
      </c>
      <c r="AD15" s="35">
        <f t="shared" si="16"/>
        <v>47392.35</v>
      </c>
      <c r="AE15" s="39">
        <f t="shared" si="8"/>
        <v>109679.23</v>
      </c>
      <c r="AF15" s="40">
        <f t="shared" si="19"/>
        <v>1277191.7199999997</v>
      </c>
      <c r="AG15" s="39">
        <v>85144.89</v>
      </c>
      <c r="AH15" s="41">
        <f t="shared" si="20"/>
        <v>1028752.47</v>
      </c>
      <c r="AI15" s="39">
        <f t="shared" si="9"/>
        <v>-24534.339999999997</v>
      </c>
      <c r="AJ15" s="41">
        <f t="shared" si="21"/>
        <v>-248439.24999999997</v>
      </c>
    </row>
    <row r="16" spans="1:36" x14ac:dyDescent="0.3">
      <c r="A16" s="31" t="s">
        <v>12</v>
      </c>
      <c r="B16" s="32">
        <v>46094</v>
      </c>
      <c r="C16" s="34">
        <v>24570.89</v>
      </c>
      <c r="D16" s="34">
        <v>0</v>
      </c>
      <c r="E16" s="34">
        <f t="shared" si="4"/>
        <v>24570.89</v>
      </c>
      <c r="F16" s="35">
        <f t="shared" si="10"/>
        <v>362240.88</v>
      </c>
      <c r="G16" s="34">
        <v>59304.89</v>
      </c>
      <c r="H16" s="34">
        <v>0</v>
      </c>
      <c r="I16" s="34">
        <f t="shared" si="5"/>
        <v>59304.89</v>
      </c>
      <c r="J16" s="35">
        <f t="shared" si="17"/>
        <v>545679.40999999992</v>
      </c>
      <c r="K16" s="34">
        <v>8262.7800000000007</v>
      </c>
      <c r="L16" s="34">
        <f t="shared" si="6"/>
        <v>8262.7800000000007</v>
      </c>
      <c r="M16" s="35">
        <f t="shared" si="11"/>
        <v>90508.24</v>
      </c>
      <c r="N16" s="34">
        <v>26408.560000000001</v>
      </c>
      <c r="O16" s="34">
        <f t="shared" si="7"/>
        <v>26408.560000000001</v>
      </c>
      <c r="P16" s="35">
        <f t="shared" si="12"/>
        <v>397310.31000000006</v>
      </c>
      <c r="Q16" s="34"/>
      <c r="R16" s="34"/>
      <c r="S16" s="34">
        <f t="shared" si="18"/>
        <v>0</v>
      </c>
      <c r="T16" s="35">
        <f t="shared" si="13"/>
        <v>58483.44</v>
      </c>
      <c r="U16" s="34"/>
      <c r="V16" s="34"/>
      <c r="W16" s="34">
        <f t="shared" si="1"/>
        <v>0</v>
      </c>
      <c r="X16" s="35">
        <f t="shared" si="14"/>
        <v>54273.23</v>
      </c>
      <c r="Y16" s="34"/>
      <c r="Z16" s="34">
        <f t="shared" si="2"/>
        <v>0</v>
      </c>
      <c r="AA16" s="35">
        <f t="shared" si="15"/>
        <v>19596.98</v>
      </c>
      <c r="AB16" s="34"/>
      <c r="AC16" s="34">
        <f t="shared" si="3"/>
        <v>0</v>
      </c>
      <c r="AD16" s="35">
        <f t="shared" si="16"/>
        <v>47392.35</v>
      </c>
      <c r="AE16" s="39">
        <f t="shared" si="8"/>
        <v>118547.12</v>
      </c>
      <c r="AF16" s="40">
        <f t="shared" si="19"/>
        <v>1395738.8399999999</v>
      </c>
      <c r="AG16" s="39">
        <v>94452.55</v>
      </c>
      <c r="AH16" s="41">
        <f t="shared" si="20"/>
        <v>1123205.02</v>
      </c>
      <c r="AI16" s="39">
        <f t="shared" si="9"/>
        <v>-24094.569999999992</v>
      </c>
      <c r="AJ16" s="41">
        <f t="shared" si="21"/>
        <v>-272533.81999999995</v>
      </c>
    </row>
    <row r="17" spans="1:36" x14ac:dyDescent="0.3">
      <c r="A17" s="31" t="s">
        <v>13</v>
      </c>
      <c r="B17" s="32">
        <v>46095</v>
      </c>
      <c r="C17" s="34">
        <v>14308.89</v>
      </c>
      <c r="D17" s="34">
        <v>0</v>
      </c>
      <c r="E17" s="34">
        <f t="shared" si="4"/>
        <v>14308.89</v>
      </c>
      <c r="F17" s="35">
        <f t="shared" si="10"/>
        <v>376549.77</v>
      </c>
      <c r="G17" s="34">
        <v>51980</v>
      </c>
      <c r="H17" s="34">
        <v>0</v>
      </c>
      <c r="I17" s="34">
        <f t="shared" si="5"/>
        <v>51980</v>
      </c>
      <c r="J17" s="35">
        <f t="shared" si="17"/>
        <v>597659.40999999992</v>
      </c>
      <c r="K17" s="34">
        <v>6220.5</v>
      </c>
      <c r="L17" s="34">
        <f t="shared" si="6"/>
        <v>6220.5</v>
      </c>
      <c r="M17" s="35">
        <f t="shared" si="11"/>
        <v>96728.74</v>
      </c>
      <c r="N17" s="34">
        <v>23334.39</v>
      </c>
      <c r="O17" s="34">
        <f t="shared" si="7"/>
        <v>23334.39</v>
      </c>
      <c r="P17" s="35">
        <f t="shared" si="12"/>
        <v>420644.70000000007</v>
      </c>
      <c r="Q17" s="34">
        <v>0</v>
      </c>
      <c r="R17" s="34">
        <v>0</v>
      </c>
      <c r="S17" s="34">
        <f t="shared" si="18"/>
        <v>0</v>
      </c>
      <c r="T17" s="35">
        <f t="shared" si="13"/>
        <v>58483.44</v>
      </c>
      <c r="U17" s="34"/>
      <c r="V17" s="34"/>
      <c r="W17" s="34">
        <f t="shared" si="1"/>
        <v>0</v>
      </c>
      <c r="X17" s="35">
        <f t="shared" si="14"/>
        <v>54273.23</v>
      </c>
      <c r="Y17" s="34">
        <v>0</v>
      </c>
      <c r="Z17" s="34">
        <f t="shared" si="2"/>
        <v>0</v>
      </c>
      <c r="AA17" s="35">
        <f t="shared" si="15"/>
        <v>19596.98</v>
      </c>
      <c r="AB17" s="34">
        <v>0</v>
      </c>
      <c r="AC17" s="34">
        <f t="shared" si="3"/>
        <v>0</v>
      </c>
      <c r="AD17" s="35">
        <f t="shared" si="16"/>
        <v>47392.35</v>
      </c>
      <c r="AE17" s="39">
        <f t="shared" si="8"/>
        <v>95843.78</v>
      </c>
      <c r="AF17" s="40">
        <f t="shared" si="19"/>
        <v>1491582.6199999999</v>
      </c>
      <c r="AG17" s="39">
        <v>0</v>
      </c>
      <c r="AH17" s="41">
        <f t="shared" si="20"/>
        <v>1123205.02</v>
      </c>
      <c r="AI17" s="39">
        <f t="shared" si="9"/>
        <v>-95843.78</v>
      </c>
      <c r="AJ17" s="41">
        <f t="shared" si="21"/>
        <v>-368377.59999999998</v>
      </c>
    </row>
    <row r="18" spans="1:36" x14ac:dyDescent="0.3">
      <c r="A18" s="31" t="s">
        <v>7</v>
      </c>
      <c r="B18" s="32">
        <v>46096</v>
      </c>
      <c r="C18" s="34">
        <v>8123</v>
      </c>
      <c r="D18" s="34">
        <v>0</v>
      </c>
      <c r="E18" s="34">
        <f t="shared" si="4"/>
        <v>8123</v>
      </c>
      <c r="F18" s="35">
        <f t="shared" si="10"/>
        <v>384672.77</v>
      </c>
      <c r="G18" s="34">
        <v>0</v>
      </c>
      <c r="H18" s="34">
        <v>0</v>
      </c>
      <c r="I18" s="34">
        <f t="shared" si="5"/>
        <v>0</v>
      </c>
      <c r="J18" s="35">
        <f t="shared" si="17"/>
        <v>597659.40999999992</v>
      </c>
      <c r="K18" s="34">
        <v>0</v>
      </c>
      <c r="L18" s="34">
        <f t="shared" si="6"/>
        <v>0</v>
      </c>
      <c r="M18" s="35">
        <f t="shared" si="11"/>
        <v>96728.74</v>
      </c>
      <c r="N18" s="34">
        <v>1376.39</v>
      </c>
      <c r="O18" s="34">
        <f t="shared" si="7"/>
        <v>1376.39</v>
      </c>
      <c r="P18" s="35">
        <f t="shared" si="12"/>
        <v>422021.09000000008</v>
      </c>
      <c r="Q18" s="34"/>
      <c r="R18" s="34"/>
      <c r="S18" s="34">
        <f t="shared" si="18"/>
        <v>0</v>
      </c>
      <c r="T18" s="35">
        <f t="shared" si="13"/>
        <v>58483.44</v>
      </c>
      <c r="U18" s="34"/>
      <c r="V18" s="34"/>
      <c r="W18" s="34">
        <f t="shared" si="1"/>
        <v>0</v>
      </c>
      <c r="X18" s="35">
        <f t="shared" si="14"/>
        <v>54273.23</v>
      </c>
      <c r="Y18" s="34">
        <v>0</v>
      </c>
      <c r="Z18" s="34">
        <f t="shared" si="2"/>
        <v>0</v>
      </c>
      <c r="AA18" s="35">
        <f t="shared" si="15"/>
        <v>19596.98</v>
      </c>
      <c r="AB18" s="34">
        <v>0</v>
      </c>
      <c r="AC18" s="34">
        <f t="shared" si="3"/>
        <v>0</v>
      </c>
      <c r="AD18" s="35">
        <f t="shared" si="16"/>
        <v>47392.35</v>
      </c>
      <c r="AE18" s="39">
        <f t="shared" si="8"/>
        <v>9499.39</v>
      </c>
      <c r="AF18" s="40">
        <f t="shared" si="19"/>
        <v>1501082.0099999998</v>
      </c>
      <c r="AG18" s="39">
        <v>0</v>
      </c>
      <c r="AH18" s="41">
        <f t="shared" si="20"/>
        <v>1123205.02</v>
      </c>
      <c r="AI18" s="39">
        <f t="shared" si="9"/>
        <v>-9499.39</v>
      </c>
      <c r="AJ18" s="41">
        <f t="shared" si="21"/>
        <v>-377876.99</v>
      </c>
    </row>
    <row r="19" spans="1:36" x14ac:dyDescent="0.3">
      <c r="A19" s="31" t="s">
        <v>8</v>
      </c>
      <c r="B19" s="32">
        <v>46097</v>
      </c>
      <c r="C19" s="34">
        <v>12701</v>
      </c>
      <c r="D19" s="34">
        <v>22296.75</v>
      </c>
      <c r="E19" s="34">
        <f t="shared" si="4"/>
        <v>34997.75</v>
      </c>
      <c r="F19" s="35">
        <f t="shared" si="10"/>
        <v>419670.52</v>
      </c>
      <c r="G19" s="34">
        <v>41431.5</v>
      </c>
      <c r="H19" s="38">
        <v>638.34</v>
      </c>
      <c r="I19" s="34">
        <f t="shared" si="5"/>
        <v>42069.84</v>
      </c>
      <c r="J19" s="35">
        <f t="shared" si="17"/>
        <v>639729.24999999988</v>
      </c>
      <c r="K19" s="34">
        <v>14548</v>
      </c>
      <c r="L19" s="34">
        <f t="shared" si="6"/>
        <v>14548</v>
      </c>
      <c r="M19" s="35">
        <f t="shared" si="11"/>
        <v>111276.74</v>
      </c>
      <c r="N19" s="34">
        <v>28297.56</v>
      </c>
      <c r="O19" s="34">
        <f t="shared" si="7"/>
        <v>28297.56</v>
      </c>
      <c r="P19" s="35">
        <f t="shared" si="12"/>
        <v>450318.65000000008</v>
      </c>
      <c r="Q19" s="34">
        <f>15472.2+37025.05</f>
        <v>52497.25</v>
      </c>
      <c r="R19" s="34">
        <v>7319.11</v>
      </c>
      <c r="S19" s="34">
        <f t="shared" si="18"/>
        <v>59816.36</v>
      </c>
      <c r="T19" s="35">
        <f t="shared" si="13"/>
        <v>118299.8</v>
      </c>
      <c r="U19" s="34">
        <f>24549.27+21935.5+636</f>
        <v>47120.770000000004</v>
      </c>
      <c r="V19" s="34">
        <f>851.12+7500</f>
        <v>8351.1200000000008</v>
      </c>
      <c r="W19" s="34">
        <f>SUM(U19:V19)</f>
        <v>55471.890000000007</v>
      </c>
      <c r="X19" s="35">
        <f t="shared" si="14"/>
        <v>109745.12000000001</v>
      </c>
      <c r="Y19" s="34">
        <v>18412.240000000002</v>
      </c>
      <c r="Z19" s="34">
        <f>SUM(Y19)</f>
        <v>18412.240000000002</v>
      </c>
      <c r="AA19" s="35">
        <f t="shared" si="15"/>
        <v>38009.22</v>
      </c>
      <c r="AB19" s="34">
        <v>44982.27</v>
      </c>
      <c r="AC19" s="34">
        <f>SUM(AB19)</f>
        <v>44982.27</v>
      </c>
      <c r="AD19" s="35">
        <f t="shared" si="16"/>
        <v>92374.62</v>
      </c>
      <c r="AE19" s="39">
        <f t="shared" si="8"/>
        <v>119913.15</v>
      </c>
      <c r="AF19" s="40">
        <f t="shared" si="19"/>
        <v>1620995.1599999997</v>
      </c>
      <c r="AG19" s="39">
        <f>S19+W19+Z19+AC19</f>
        <v>178682.75999999998</v>
      </c>
      <c r="AH19" s="41">
        <f t="shared" si="20"/>
        <v>1301887.78</v>
      </c>
      <c r="AI19" s="39">
        <f t="shared" si="9"/>
        <v>58769.609999999986</v>
      </c>
      <c r="AJ19" s="41">
        <f t="shared" si="21"/>
        <v>-319107.38</v>
      </c>
    </row>
    <row r="20" spans="1:36" x14ac:dyDescent="0.3">
      <c r="A20" s="31" t="s">
        <v>9</v>
      </c>
      <c r="B20" s="32">
        <v>46098</v>
      </c>
      <c r="C20" s="34">
        <v>25373.5</v>
      </c>
      <c r="D20" s="34">
        <v>8377.57</v>
      </c>
      <c r="E20" s="34">
        <f t="shared" si="4"/>
        <v>33751.07</v>
      </c>
      <c r="F20" s="35">
        <f t="shared" si="10"/>
        <v>453421.59</v>
      </c>
      <c r="G20" s="34">
        <v>57342.71</v>
      </c>
      <c r="H20" s="34">
        <v>8402.33</v>
      </c>
      <c r="I20" s="34">
        <f t="shared" si="5"/>
        <v>65745.039999999994</v>
      </c>
      <c r="J20" s="35">
        <f t="shared" si="17"/>
        <v>705474.28999999992</v>
      </c>
      <c r="K20" s="34">
        <v>6292.89</v>
      </c>
      <c r="L20" s="34">
        <f t="shared" si="6"/>
        <v>6292.89</v>
      </c>
      <c r="M20" s="35">
        <f t="shared" si="11"/>
        <v>117569.63</v>
      </c>
      <c r="N20" s="34">
        <v>21708.95</v>
      </c>
      <c r="O20" s="34">
        <f t="shared" si="7"/>
        <v>21708.95</v>
      </c>
      <c r="P20" s="35">
        <f t="shared" si="12"/>
        <v>472027.60000000009</v>
      </c>
      <c r="Q20" s="34">
        <f>5017.51+27553.09</f>
        <v>32570.6</v>
      </c>
      <c r="R20" s="34">
        <v>2159.64</v>
      </c>
      <c r="S20" s="34">
        <f>SUM(Q20:R20)</f>
        <v>34730.239999999998</v>
      </c>
      <c r="T20" s="35">
        <f t="shared" si="13"/>
        <v>153030.04</v>
      </c>
      <c r="U20" s="34">
        <f>7485.54+15744</f>
        <v>23229.54</v>
      </c>
      <c r="V20" s="34">
        <v>425.56</v>
      </c>
      <c r="W20" s="34">
        <f>SUM(U20:V20)</f>
        <v>23655.100000000002</v>
      </c>
      <c r="X20" s="35">
        <f t="shared" si="14"/>
        <v>133400.22</v>
      </c>
      <c r="Y20" s="34">
        <v>8972.0300000000007</v>
      </c>
      <c r="Z20" s="34">
        <f>SUM(Y20)</f>
        <v>8972.0300000000007</v>
      </c>
      <c r="AA20" s="35">
        <f t="shared" si="15"/>
        <v>46981.25</v>
      </c>
      <c r="AB20" s="34">
        <v>45808.58</v>
      </c>
      <c r="AC20" s="34">
        <f>SUM(AB20)</f>
        <v>45808.58</v>
      </c>
      <c r="AD20" s="35">
        <f t="shared" si="16"/>
        <v>138183.20000000001</v>
      </c>
      <c r="AE20" s="39">
        <f t="shared" si="8"/>
        <v>127497.94999999998</v>
      </c>
      <c r="AF20" s="40">
        <f t="shared" si="19"/>
        <v>1748493.1099999996</v>
      </c>
      <c r="AG20" s="39">
        <f>S20+W20+Z20+AC20</f>
        <v>113165.95</v>
      </c>
      <c r="AH20" s="41">
        <f t="shared" si="20"/>
        <v>1415053.73</v>
      </c>
      <c r="AI20" s="39">
        <f t="shared" si="9"/>
        <v>-14331.999999999985</v>
      </c>
      <c r="AJ20" s="41">
        <f t="shared" si="21"/>
        <v>-333439.38</v>
      </c>
    </row>
    <row r="21" spans="1:36" x14ac:dyDescent="0.3">
      <c r="A21" s="31" t="s">
        <v>10</v>
      </c>
      <c r="B21" s="32">
        <v>46099</v>
      </c>
      <c r="C21" s="34">
        <v>24587.58</v>
      </c>
      <c r="D21" s="34">
        <v>0</v>
      </c>
      <c r="E21" s="34">
        <f t="shared" ref="E21:E22" si="22">SUM(C21:D21)</f>
        <v>24587.58</v>
      </c>
      <c r="F21" s="35">
        <f t="shared" ref="F21:F22" si="23">E21+F20</f>
        <v>478009.17000000004</v>
      </c>
      <c r="G21" s="34">
        <v>23279.78</v>
      </c>
      <c r="H21" s="34">
        <v>7577.78</v>
      </c>
      <c r="I21" s="34">
        <f t="shared" ref="I21:I22" si="24">SUM(G21:H21)</f>
        <v>30857.559999999998</v>
      </c>
      <c r="J21" s="35">
        <f t="shared" ref="J21:J22" si="25">I21+J20</f>
        <v>736331.84999999986</v>
      </c>
      <c r="K21" s="34">
        <v>5445.28</v>
      </c>
      <c r="L21" s="34">
        <f t="shared" si="6"/>
        <v>5445.28</v>
      </c>
      <c r="M21" s="35">
        <f t="shared" ref="M21" si="26">L21+M20</f>
        <v>123014.91</v>
      </c>
      <c r="N21" s="34">
        <v>18159.34</v>
      </c>
      <c r="O21" s="34">
        <f t="shared" si="7"/>
        <v>18159.34</v>
      </c>
      <c r="P21" s="35">
        <f t="shared" si="12"/>
        <v>490186.94000000012</v>
      </c>
      <c r="Q21" s="34">
        <f>17930+3129.71</f>
        <v>21059.71</v>
      </c>
      <c r="R21" s="34">
        <v>1188.1400000000001</v>
      </c>
      <c r="S21" s="34">
        <f>SUM(Q21:R21)</f>
        <v>22247.85</v>
      </c>
      <c r="T21" s="35">
        <f t="shared" si="13"/>
        <v>175277.89</v>
      </c>
      <c r="U21" s="34">
        <f>6759.14+772+15418</f>
        <v>22949.14</v>
      </c>
      <c r="V21" s="34">
        <f>7365+305.94</f>
        <v>7670.94</v>
      </c>
      <c r="W21" s="34">
        <f>SUM(U21:V21)</f>
        <v>30620.079999999998</v>
      </c>
      <c r="X21" s="35">
        <f t="shared" si="14"/>
        <v>164020.29999999999</v>
      </c>
      <c r="Y21" s="34">
        <f>61.06+1774</f>
        <v>1835.06</v>
      </c>
      <c r="Z21" s="34">
        <f>SUM(Y21)</f>
        <v>1835.06</v>
      </c>
      <c r="AA21" s="35">
        <f t="shared" si="15"/>
        <v>48816.31</v>
      </c>
      <c r="AB21" s="34">
        <f>2283.3+16583+1782</f>
        <v>20648.3</v>
      </c>
      <c r="AC21" s="34">
        <f>SUM(AB21)</f>
        <v>20648.3</v>
      </c>
      <c r="AD21" s="35">
        <f t="shared" si="16"/>
        <v>158831.5</v>
      </c>
      <c r="AE21" s="39">
        <f t="shared" si="8"/>
        <v>79049.759999999995</v>
      </c>
      <c r="AF21" s="40">
        <f t="shared" si="19"/>
        <v>1827542.8699999996</v>
      </c>
      <c r="AG21" s="39">
        <f t="shared" ref="AG21:AG22" si="27">S21+W21+Z21+AC21</f>
        <v>75351.289999999994</v>
      </c>
      <c r="AH21" s="41">
        <f t="shared" si="20"/>
        <v>1490405.02</v>
      </c>
      <c r="AI21" s="39">
        <f t="shared" si="9"/>
        <v>-3698.4700000000012</v>
      </c>
      <c r="AJ21" s="41">
        <f t="shared" si="21"/>
        <v>-337137.85</v>
      </c>
    </row>
    <row r="22" spans="1:36" x14ac:dyDescent="0.3">
      <c r="A22" s="31" t="s">
        <v>11</v>
      </c>
      <c r="B22" s="32">
        <v>46100</v>
      </c>
      <c r="C22" s="34">
        <v>23771.89</v>
      </c>
      <c r="D22" s="34">
        <v>7414.14</v>
      </c>
      <c r="E22" s="34">
        <f t="shared" si="22"/>
        <v>31186.03</v>
      </c>
      <c r="F22" s="35">
        <f t="shared" si="23"/>
        <v>509195.20000000007</v>
      </c>
      <c r="G22" s="34">
        <v>11996</v>
      </c>
      <c r="H22" s="38">
        <v>212.78</v>
      </c>
      <c r="I22" s="34">
        <f t="shared" si="24"/>
        <v>12208.78</v>
      </c>
      <c r="J22" s="35">
        <f t="shared" si="25"/>
        <v>748540.62999999989</v>
      </c>
      <c r="K22" s="38"/>
      <c r="L22" s="38"/>
      <c r="M22" s="38"/>
      <c r="N22" s="34">
        <v>71134.47</v>
      </c>
      <c r="O22" s="34">
        <f t="shared" si="7"/>
        <v>71134.47</v>
      </c>
      <c r="P22" s="35">
        <f t="shared" si="12"/>
        <v>561321.41000000015</v>
      </c>
      <c r="Q22" s="34">
        <f>5926.01+23635</f>
        <v>29561.010000000002</v>
      </c>
      <c r="R22" s="34">
        <v>2978.23</v>
      </c>
      <c r="S22" s="34">
        <f>SUM(Q22:R22)</f>
        <v>32539.24</v>
      </c>
      <c r="T22" s="35">
        <f t="shared" si="13"/>
        <v>207817.13</v>
      </c>
      <c r="U22" s="34">
        <f>7936.08+2958+8046</f>
        <v>18940.080000000002</v>
      </c>
      <c r="V22" s="34">
        <v>106.39</v>
      </c>
      <c r="W22" s="34">
        <f>SUM(U22:V22)</f>
        <v>19046.47</v>
      </c>
      <c r="X22" s="35">
        <f t="shared" si="14"/>
        <v>183066.77</v>
      </c>
      <c r="Y22" s="34">
        <v>443.74</v>
      </c>
      <c r="Z22" s="34">
        <f>SUM(Y22)</f>
        <v>443.74</v>
      </c>
      <c r="AA22" s="35">
        <f t="shared" si="15"/>
        <v>49260.049999999996</v>
      </c>
      <c r="AB22" s="34">
        <f>3148.26+19262</f>
        <v>22410.260000000002</v>
      </c>
      <c r="AC22" s="34">
        <f>SUM(AB22)</f>
        <v>22410.260000000002</v>
      </c>
      <c r="AD22" s="35">
        <f t="shared" si="16"/>
        <v>181241.76</v>
      </c>
      <c r="AE22" s="39">
        <f t="shared" si="8"/>
        <v>114529.28</v>
      </c>
      <c r="AF22" s="40">
        <f t="shared" si="19"/>
        <v>1942072.1499999997</v>
      </c>
      <c r="AG22" s="39">
        <f t="shared" si="27"/>
        <v>74439.710000000006</v>
      </c>
      <c r="AH22" s="41">
        <f t="shared" si="20"/>
        <v>1564844.73</v>
      </c>
      <c r="AI22" s="39">
        <f t="shared" si="9"/>
        <v>-40089.569999999992</v>
      </c>
      <c r="AJ22" s="41">
        <f t="shared" si="21"/>
        <v>-377227.42</v>
      </c>
    </row>
    <row r="23" spans="1:36" x14ac:dyDescent="0.3">
      <c r="A23" s="31" t="s">
        <v>12</v>
      </c>
      <c r="B23" s="32">
        <v>46101</v>
      </c>
      <c r="C23" s="34"/>
      <c r="D23" s="38"/>
      <c r="E23" s="34"/>
      <c r="F23" s="34"/>
      <c r="G23" s="38"/>
      <c r="H23" s="38"/>
      <c r="I23" s="34"/>
      <c r="J23" s="34"/>
      <c r="K23" s="38"/>
      <c r="L23" s="38"/>
      <c r="M23" s="38"/>
      <c r="N23" s="38"/>
      <c r="O23" s="38"/>
      <c r="P23" s="38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9"/>
      <c r="AF23" s="39"/>
      <c r="AG23" s="39"/>
      <c r="AH23" s="39"/>
      <c r="AI23" s="39"/>
      <c r="AJ23" s="42"/>
    </row>
    <row r="24" spans="1:36" x14ac:dyDescent="0.3">
      <c r="A24" s="31" t="s">
        <v>13</v>
      </c>
      <c r="B24" s="32">
        <v>46102</v>
      </c>
      <c r="C24" s="34"/>
      <c r="D24" s="38"/>
      <c r="E24" s="34"/>
      <c r="F24" s="34"/>
      <c r="G24" s="38"/>
      <c r="H24" s="38"/>
      <c r="I24" s="34"/>
      <c r="J24" s="34"/>
      <c r="K24" s="38"/>
      <c r="L24" s="38"/>
      <c r="M24" s="38"/>
      <c r="N24" s="38"/>
      <c r="O24" s="38"/>
      <c r="P24" s="38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9"/>
      <c r="AF24" s="39"/>
      <c r="AG24" s="39"/>
      <c r="AH24" s="39"/>
      <c r="AI24" s="39"/>
      <c r="AJ24" s="42"/>
    </row>
    <row r="25" spans="1:36" x14ac:dyDescent="0.3">
      <c r="A25" s="31" t="s">
        <v>7</v>
      </c>
      <c r="B25" s="32">
        <v>46103</v>
      </c>
      <c r="C25" s="34"/>
      <c r="D25" s="38"/>
      <c r="E25" s="34"/>
      <c r="F25" s="34"/>
      <c r="G25" s="38"/>
      <c r="H25" s="38"/>
      <c r="I25" s="34"/>
      <c r="J25" s="34"/>
      <c r="K25" s="38"/>
      <c r="L25" s="38"/>
      <c r="M25" s="38"/>
      <c r="N25" s="38"/>
      <c r="O25" s="38"/>
      <c r="P25" s="38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9"/>
      <c r="AF25" s="39"/>
      <c r="AG25" s="39"/>
      <c r="AH25" s="39"/>
      <c r="AI25" s="39"/>
      <c r="AJ25" s="42"/>
    </row>
    <row r="26" spans="1:36" x14ac:dyDescent="0.3">
      <c r="A26" s="31" t="s">
        <v>8</v>
      </c>
      <c r="B26" s="32">
        <v>46104</v>
      </c>
      <c r="C26" s="34"/>
      <c r="D26" s="38"/>
      <c r="E26" s="34"/>
      <c r="F26" s="34"/>
      <c r="G26" s="38"/>
      <c r="H26" s="38"/>
      <c r="I26" s="34"/>
      <c r="J26" s="34"/>
      <c r="K26" s="38"/>
      <c r="L26" s="38"/>
      <c r="M26" s="38"/>
      <c r="N26" s="38"/>
      <c r="O26" s="38"/>
      <c r="P26" s="38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9"/>
      <c r="AF26" s="39"/>
      <c r="AG26" s="39"/>
      <c r="AH26" s="39"/>
      <c r="AI26" s="39"/>
      <c r="AJ26" s="42"/>
    </row>
    <row r="27" spans="1:36" x14ac:dyDescent="0.3">
      <c r="A27" s="31" t="s">
        <v>9</v>
      </c>
      <c r="B27" s="32">
        <v>46105</v>
      </c>
      <c r="C27" s="34"/>
      <c r="D27" s="38"/>
      <c r="E27" s="34"/>
      <c r="F27" s="34"/>
      <c r="G27" s="38"/>
      <c r="H27" s="38"/>
      <c r="I27" s="34"/>
      <c r="J27" s="34"/>
      <c r="K27" s="38"/>
      <c r="L27" s="38"/>
      <c r="M27" s="38"/>
      <c r="N27" s="38"/>
      <c r="O27" s="38"/>
      <c r="P27" s="38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9"/>
      <c r="AF27" s="39"/>
      <c r="AG27" s="39"/>
      <c r="AH27" s="39"/>
      <c r="AI27" s="39"/>
      <c r="AJ27" s="42"/>
    </row>
    <row r="28" spans="1:36" x14ac:dyDescent="0.3">
      <c r="A28" s="31" t="s">
        <v>10</v>
      </c>
      <c r="B28" s="32">
        <v>46106</v>
      </c>
      <c r="C28" s="34"/>
      <c r="D28" s="38"/>
      <c r="E28" s="34"/>
      <c r="F28" s="34"/>
      <c r="G28" s="38"/>
      <c r="H28" s="38"/>
      <c r="I28" s="34"/>
      <c r="J28" s="34"/>
      <c r="K28" s="38"/>
      <c r="L28" s="38"/>
      <c r="M28" s="38"/>
      <c r="N28" s="38"/>
      <c r="O28" s="38"/>
      <c r="P28" s="38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9"/>
      <c r="AF28" s="39"/>
      <c r="AG28" s="39"/>
      <c r="AH28" s="39"/>
      <c r="AI28" s="39"/>
      <c r="AJ28" s="42"/>
    </row>
    <row r="29" spans="1:36" x14ac:dyDescent="0.3">
      <c r="A29" s="31" t="s">
        <v>11</v>
      </c>
      <c r="B29" s="32">
        <v>46107</v>
      </c>
      <c r="C29" s="34"/>
      <c r="D29" s="38"/>
      <c r="E29" s="34"/>
      <c r="F29" s="34"/>
      <c r="G29" s="38"/>
      <c r="H29" s="38"/>
      <c r="I29" s="34"/>
      <c r="J29" s="34"/>
      <c r="K29" s="38"/>
      <c r="L29" s="38"/>
      <c r="M29" s="38"/>
      <c r="N29" s="38"/>
      <c r="O29" s="38"/>
      <c r="P29" s="38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9"/>
      <c r="AF29" s="39"/>
      <c r="AG29" s="39"/>
      <c r="AH29" s="39"/>
      <c r="AI29" s="39"/>
      <c r="AJ29" s="42"/>
    </row>
    <row r="30" spans="1:36" x14ac:dyDescent="0.3">
      <c r="A30" s="31" t="s">
        <v>12</v>
      </c>
      <c r="B30" s="32">
        <v>46108</v>
      </c>
      <c r="C30" s="34"/>
      <c r="D30" s="38"/>
      <c r="E30" s="34"/>
      <c r="F30" s="34"/>
      <c r="G30" s="38"/>
      <c r="H30" s="38"/>
      <c r="I30" s="34"/>
      <c r="J30" s="34"/>
      <c r="K30" s="38"/>
      <c r="L30" s="38"/>
      <c r="M30" s="38"/>
      <c r="N30" s="38"/>
      <c r="O30" s="38"/>
      <c r="P30" s="38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9"/>
      <c r="AF30" s="39"/>
      <c r="AG30" s="39"/>
      <c r="AH30" s="39"/>
      <c r="AI30" s="39"/>
      <c r="AJ30" s="42"/>
    </row>
    <row r="31" spans="1:36" x14ac:dyDescent="0.3">
      <c r="A31" s="31" t="s">
        <v>13</v>
      </c>
      <c r="B31" s="32">
        <v>46109</v>
      </c>
      <c r="C31" s="34"/>
      <c r="D31" s="38"/>
      <c r="E31" s="34"/>
      <c r="F31" s="34"/>
      <c r="G31" s="38"/>
      <c r="H31" s="38"/>
      <c r="I31" s="34"/>
      <c r="J31" s="34"/>
      <c r="K31" s="38"/>
      <c r="L31" s="38"/>
      <c r="M31" s="38"/>
      <c r="N31" s="38"/>
      <c r="O31" s="38"/>
      <c r="P31" s="38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9"/>
      <c r="AF31" s="39"/>
      <c r="AG31" s="39"/>
      <c r="AH31" s="39"/>
      <c r="AI31" s="39"/>
      <c r="AJ31" s="42"/>
    </row>
    <row r="32" spans="1:36" x14ac:dyDescent="0.3">
      <c r="A32" s="31" t="s">
        <v>7</v>
      </c>
      <c r="B32" s="32">
        <v>46110</v>
      </c>
      <c r="C32" s="34"/>
      <c r="D32" s="38"/>
      <c r="E32" s="34"/>
      <c r="F32" s="34"/>
      <c r="G32" s="38"/>
      <c r="H32" s="38"/>
      <c r="I32" s="34"/>
      <c r="J32" s="34"/>
      <c r="K32" s="38"/>
      <c r="L32" s="38"/>
      <c r="M32" s="38"/>
      <c r="N32" s="38"/>
      <c r="O32" s="38"/>
      <c r="P32" s="38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9"/>
      <c r="AF32" s="39"/>
      <c r="AG32" s="39"/>
      <c r="AH32" s="39"/>
      <c r="AI32" s="39"/>
      <c r="AJ32" s="42"/>
    </row>
    <row r="33" spans="1:36" x14ac:dyDescent="0.3">
      <c r="A33" s="31" t="s">
        <v>8</v>
      </c>
      <c r="B33" s="32">
        <v>46111</v>
      </c>
      <c r="C33" s="34"/>
      <c r="D33" s="38"/>
      <c r="E33" s="34"/>
      <c r="F33" s="34"/>
      <c r="G33" s="38"/>
      <c r="H33" s="38"/>
      <c r="I33" s="34"/>
      <c r="J33" s="34"/>
      <c r="K33" s="38"/>
      <c r="L33" s="38"/>
      <c r="M33" s="38"/>
      <c r="N33" s="38"/>
      <c r="O33" s="38"/>
      <c r="P33" s="38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9"/>
      <c r="AF33" s="39"/>
      <c r="AG33" s="39"/>
      <c r="AH33" s="39"/>
      <c r="AI33" s="39"/>
      <c r="AJ33" s="42"/>
    </row>
    <row r="34" spans="1:36" x14ac:dyDescent="0.3">
      <c r="A34" s="31" t="s">
        <v>9</v>
      </c>
      <c r="B34" s="32">
        <v>46112</v>
      </c>
      <c r="C34" s="34"/>
      <c r="D34" s="38"/>
      <c r="E34" s="34"/>
      <c r="F34" s="34"/>
      <c r="G34" s="38"/>
      <c r="H34" s="38"/>
      <c r="I34" s="34"/>
      <c r="J34" s="34"/>
      <c r="K34" s="38"/>
      <c r="L34" s="38"/>
      <c r="M34" s="38"/>
      <c r="N34" s="38"/>
      <c r="O34" s="38"/>
      <c r="P34" s="38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9"/>
      <c r="AF34" s="39"/>
      <c r="AG34" s="39"/>
      <c r="AH34" s="39"/>
      <c r="AI34" s="39"/>
      <c r="AJ34" s="42"/>
    </row>
    <row r="35" spans="1:36" x14ac:dyDescent="0.3"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</sheetData>
  <mergeCells count="17">
    <mergeCell ref="K2:M2"/>
    <mergeCell ref="N2:P2"/>
    <mergeCell ref="S1:AD1"/>
    <mergeCell ref="AE2:AE3"/>
    <mergeCell ref="AF2:AF3"/>
    <mergeCell ref="AE1:AJ1"/>
    <mergeCell ref="E1:P1"/>
    <mergeCell ref="Q2:T2"/>
    <mergeCell ref="U2:X2"/>
    <mergeCell ref="Y2:AA2"/>
    <mergeCell ref="AB2:AD2"/>
    <mergeCell ref="AG2:AG3"/>
    <mergeCell ref="AH2:AH3"/>
    <mergeCell ref="AI2:AI3"/>
    <mergeCell ref="AJ2:AJ3"/>
    <mergeCell ref="C2:F2"/>
    <mergeCell ref="G2:J2"/>
  </mergeCells>
  <pageMargins left="0.511811024" right="0.511811024" top="0.78740157499999996" bottom="0.78740157499999996" header="0.31496062000000002" footer="0.31496062000000002"/>
  <pageSetup paperSize="9" scale="35" orientation="landscape" r:id="rId1"/>
  <ignoredErrors>
    <ignoredError sqref="AG19:AG20 AI4:AI20 AE4:AE13 AE15:AE20 AE14 AE21:AE22 AG21:AG22 AI21:AI22" formula="1"/>
    <ignoredError sqref="E4:E22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A4FB-F62E-4AA7-8C4E-DC7B02C1DF7D}">
  <dimension ref="A1:AJ35"/>
  <sheetViews>
    <sheetView workbookViewId="0">
      <selection activeCell="O9" sqref="O9"/>
    </sheetView>
  </sheetViews>
  <sheetFormatPr defaultRowHeight="14.4" outlineLevelCol="1" x14ac:dyDescent="0.3"/>
  <cols>
    <col min="1" max="1" width="4.5546875" customWidth="1"/>
    <col min="2" max="2" width="5.6640625" customWidth="1"/>
    <col min="3" max="3" width="8.6640625" hidden="1" customWidth="1" outlineLevel="1"/>
    <col min="4" max="4" width="8.88671875" hidden="1" customWidth="1" outlineLevel="1"/>
    <col min="5" max="5" width="6.88671875" bestFit="1" customWidth="1" collapsed="1"/>
    <col min="6" max="6" width="7.6640625" bestFit="1" customWidth="1"/>
    <col min="7" max="7" width="8.88671875" hidden="1" customWidth="1" outlineLevel="1"/>
    <col min="8" max="8" width="10" hidden="1" customWidth="1" outlineLevel="1"/>
    <col min="9" max="9" width="7.109375" bestFit="1" customWidth="1" collapsed="1"/>
    <col min="10" max="10" width="7.6640625" bestFit="1" customWidth="1"/>
    <col min="11" max="11" width="9.21875" hidden="1" customWidth="1" outlineLevel="1"/>
    <col min="12" max="12" width="9.21875" bestFit="1" customWidth="1" collapsed="1"/>
    <col min="13" max="13" width="9.21875" bestFit="1" customWidth="1"/>
    <col min="14" max="14" width="9.109375" hidden="1" customWidth="1" outlineLevel="1"/>
    <col min="15" max="15" width="9.109375" bestFit="1" customWidth="1" collapsed="1"/>
    <col min="16" max="16" width="10" bestFit="1" customWidth="1"/>
    <col min="17" max="17" width="7.88671875" hidden="1" customWidth="1" outlineLevel="1"/>
    <col min="18" max="18" width="8.21875" hidden="1" customWidth="1" outlineLevel="1"/>
    <col min="19" max="19" width="6.88671875" bestFit="1" customWidth="1" collapsed="1"/>
    <col min="20" max="20" width="6.88671875" bestFit="1" customWidth="1"/>
    <col min="21" max="21" width="9.21875" hidden="1" customWidth="1" outlineLevel="1"/>
    <col min="22" max="22" width="10.44140625" hidden="1" customWidth="1" outlineLevel="1"/>
    <col min="23" max="23" width="8.88671875" bestFit="1" collapsed="1"/>
    <col min="24" max="24" width="7.109375" bestFit="1" customWidth="1"/>
    <col min="25" max="25" width="9.21875" hidden="1" customWidth="1" outlineLevel="1"/>
    <col min="26" max="26" width="10.44140625" customWidth="1" collapsed="1"/>
    <col min="27" max="27" width="9.21875" bestFit="1" customWidth="1"/>
    <col min="28" max="28" width="12.33203125" hidden="1" customWidth="1" outlineLevel="1"/>
    <col min="29" max="29" width="9.109375" bestFit="1" customWidth="1" collapsed="1"/>
    <col min="30" max="30" width="9.109375" bestFit="1" customWidth="1"/>
    <col min="31" max="31" width="7.88671875" bestFit="1" customWidth="1"/>
    <col min="32" max="32" width="9.109375" bestFit="1" customWidth="1"/>
    <col min="33" max="33" width="7.88671875" bestFit="1" customWidth="1"/>
    <col min="34" max="34" width="9.109375" bestFit="1" customWidth="1"/>
    <col min="35" max="35" width="10.44140625" bestFit="1" customWidth="1"/>
    <col min="36" max="36" width="12.21875" customWidth="1"/>
  </cols>
  <sheetData>
    <row r="1" spans="1:36" ht="21" x14ac:dyDescent="0.4">
      <c r="C1" s="19" t="s">
        <v>2</v>
      </c>
      <c r="D1" s="19"/>
      <c r="E1" s="63" t="s">
        <v>2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5"/>
      <c r="Q1" s="43"/>
      <c r="R1" s="43"/>
      <c r="S1" s="66" t="s">
        <v>3</v>
      </c>
      <c r="T1" s="67"/>
      <c r="U1" s="67"/>
      <c r="V1" s="67"/>
      <c r="W1" s="67"/>
      <c r="X1" s="67"/>
      <c r="Y1" s="67"/>
      <c r="Z1" s="67"/>
      <c r="AA1" s="67"/>
      <c r="AB1" s="67"/>
      <c r="AC1" s="67"/>
      <c r="AD1" s="68"/>
      <c r="AE1" s="69" t="s">
        <v>15</v>
      </c>
      <c r="AF1" s="70"/>
      <c r="AG1" s="70"/>
      <c r="AH1" s="70"/>
      <c r="AI1" s="70"/>
      <c r="AJ1" s="71"/>
    </row>
    <row r="2" spans="1:36" x14ac:dyDescent="0.3">
      <c r="C2" s="57" t="s">
        <v>17</v>
      </c>
      <c r="D2" s="57"/>
      <c r="E2" s="57"/>
      <c r="F2" s="57"/>
      <c r="G2" s="45" t="s">
        <v>18</v>
      </c>
      <c r="H2" s="45"/>
      <c r="I2" s="45"/>
      <c r="J2" s="45"/>
      <c r="K2" s="57" t="s">
        <v>27</v>
      </c>
      <c r="L2" s="57"/>
      <c r="M2" s="57"/>
      <c r="N2" s="45" t="s">
        <v>31</v>
      </c>
      <c r="O2" s="45"/>
      <c r="P2" s="45"/>
      <c r="Q2" s="57" t="s">
        <v>17</v>
      </c>
      <c r="R2" s="57"/>
      <c r="S2" s="57"/>
      <c r="T2" s="57"/>
      <c r="U2" s="45" t="s">
        <v>18</v>
      </c>
      <c r="V2" s="45"/>
      <c r="W2" s="45"/>
      <c r="X2" s="45"/>
      <c r="Y2" s="57" t="s">
        <v>27</v>
      </c>
      <c r="Z2" s="57"/>
      <c r="AA2" s="57"/>
      <c r="AB2" s="45" t="s">
        <v>31</v>
      </c>
      <c r="AC2" s="45"/>
      <c r="AD2" s="45"/>
      <c r="AE2" s="49" t="s">
        <v>0</v>
      </c>
      <c r="AF2" s="50" t="s">
        <v>39</v>
      </c>
      <c r="AG2" s="58" t="s">
        <v>1</v>
      </c>
      <c r="AH2" s="50" t="s">
        <v>40</v>
      </c>
      <c r="AI2" s="59" t="s">
        <v>15</v>
      </c>
      <c r="AJ2" s="61" t="s">
        <v>33</v>
      </c>
    </row>
    <row r="3" spans="1:36" ht="34.200000000000003" x14ac:dyDescent="0.3">
      <c r="B3" s="10" t="s">
        <v>32</v>
      </c>
      <c r="C3" s="8" t="s">
        <v>5</v>
      </c>
      <c r="D3" s="8" t="s">
        <v>6</v>
      </c>
      <c r="E3" s="16" t="s">
        <v>23</v>
      </c>
      <c r="F3" s="9" t="s">
        <v>35</v>
      </c>
      <c r="G3" s="8" t="s">
        <v>4</v>
      </c>
      <c r="H3" s="8" t="s">
        <v>14</v>
      </c>
      <c r="I3" s="16" t="s">
        <v>24</v>
      </c>
      <c r="J3" s="9" t="s">
        <v>36</v>
      </c>
      <c r="K3" s="8" t="s">
        <v>20</v>
      </c>
      <c r="L3" s="16" t="s">
        <v>28</v>
      </c>
      <c r="M3" s="9" t="s">
        <v>37</v>
      </c>
      <c r="N3" s="8" t="s">
        <v>16</v>
      </c>
      <c r="O3" s="16" t="s">
        <v>29</v>
      </c>
      <c r="P3" s="9" t="s">
        <v>38</v>
      </c>
      <c r="Q3" s="8" t="s">
        <v>5</v>
      </c>
      <c r="R3" s="8" t="s">
        <v>6</v>
      </c>
      <c r="S3" s="15" t="s">
        <v>23</v>
      </c>
      <c r="T3" s="11" t="s">
        <v>35</v>
      </c>
      <c r="U3" s="8" t="s">
        <v>4</v>
      </c>
      <c r="V3" s="8" t="s">
        <v>14</v>
      </c>
      <c r="W3" s="15" t="s">
        <v>24</v>
      </c>
      <c r="X3" s="11" t="s">
        <v>36</v>
      </c>
      <c r="Y3" s="8" t="s">
        <v>20</v>
      </c>
      <c r="Z3" s="15" t="s">
        <v>28</v>
      </c>
      <c r="AA3" s="11" t="s">
        <v>37</v>
      </c>
      <c r="AB3" s="8" t="s">
        <v>16</v>
      </c>
      <c r="AC3" s="15" t="s">
        <v>29</v>
      </c>
      <c r="AD3" s="11" t="s">
        <v>38</v>
      </c>
      <c r="AE3" s="49"/>
      <c r="AF3" s="50"/>
      <c r="AG3" s="58"/>
      <c r="AH3" s="50"/>
      <c r="AI3" s="60"/>
      <c r="AJ3" s="62"/>
    </row>
    <row r="4" spans="1:36" x14ac:dyDescent="0.3">
      <c r="A4" s="31" t="s">
        <v>7</v>
      </c>
      <c r="B4" s="32">
        <v>46082</v>
      </c>
      <c r="C4" s="33">
        <v>10905</v>
      </c>
      <c r="D4" s="34">
        <v>0</v>
      </c>
      <c r="E4" s="34">
        <f>SUM(C4:D4)</f>
        <v>10905</v>
      </c>
      <c r="F4" s="35">
        <f>E4</f>
        <v>10905</v>
      </c>
      <c r="G4" s="34">
        <v>0</v>
      </c>
      <c r="H4" s="34">
        <v>0</v>
      </c>
      <c r="I4" s="34">
        <f>SUM(G4:H4)</f>
        <v>0</v>
      </c>
      <c r="J4" s="35">
        <f>I4</f>
        <v>0</v>
      </c>
      <c r="K4" s="34">
        <v>0</v>
      </c>
      <c r="L4" s="34">
        <f>K4</f>
        <v>0</v>
      </c>
      <c r="M4" s="35">
        <f>L4</f>
        <v>0</v>
      </c>
      <c r="N4" s="34">
        <v>1270</v>
      </c>
      <c r="O4" s="34">
        <f>N4</f>
        <v>1270</v>
      </c>
      <c r="P4" s="35">
        <f>O4</f>
        <v>1270</v>
      </c>
      <c r="Q4" s="34">
        <v>0</v>
      </c>
      <c r="R4" s="34">
        <v>0</v>
      </c>
      <c r="S4" s="34">
        <f t="shared" ref="S4:S19" si="0">SUM(Q4:R4)</f>
        <v>0</v>
      </c>
      <c r="T4" s="35">
        <f>S4</f>
        <v>0</v>
      </c>
      <c r="U4" s="34">
        <v>0</v>
      </c>
      <c r="V4" s="34">
        <v>0</v>
      </c>
      <c r="W4" s="34">
        <f t="shared" ref="W4:W18" si="1">SUM(U4:V4)</f>
        <v>0</v>
      </c>
      <c r="X4" s="35">
        <f>W4</f>
        <v>0</v>
      </c>
      <c r="Y4" s="36">
        <v>0</v>
      </c>
      <c r="Z4" s="34">
        <f t="shared" ref="Z4:Z18" si="2">SUM(Y4)</f>
        <v>0</v>
      </c>
      <c r="AA4" s="35">
        <f>Z4</f>
        <v>0</v>
      </c>
      <c r="AB4" s="34">
        <v>0</v>
      </c>
      <c r="AC4" s="34">
        <f t="shared" ref="AC4:AC18" si="3">SUM(AB4)</f>
        <v>0</v>
      </c>
      <c r="AD4" s="35">
        <f>AC4</f>
        <v>0</v>
      </c>
      <c r="AE4" s="39">
        <f>E4+I4+L4+O4</f>
        <v>12175</v>
      </c>
      <c r="AF4" s="40">
        <f>AE4</f>
        <v>12175</v>
      </c>
      <c r="AG4" s="39">
        <v>0</v>
      </c>
      <c r="AH4" s="41">
        <f>AG4</f>
        <v>0</v>
      </c>
      <c r="AI4" s="39">
        <f>AG4-AE4</f>
        <v>-12175</v>
      </c>
      <c r="AJ4" s="41">
        <f>AI4</f>
        <v>-12175</v>
      </c>
    </row>
    <row r="5" spans="1:36" x14ac:dyDescent="0.3">
      <c r="A5" s="31" t="s">
        <v>8</v>
      </c>
      <c r="B5" s="32">
        <v>46083</v>
      </c>
      <c r="C5" s="34">
        <v>30973</v>
      </c>
      <c r="D5" s="34">
        <v>0</v>
      </c>
      <c r="E5" s="34">
        <f t="shared" ref="E5:E21" si="4">SUM(C5:D5)</f>
        <v>30973</v>
      </c>
      <c r="F5" s="35">
        <f>E5+F4</f>
        <v>41878</v>
      </c>
      <c r="G5" s="34">
        <v>54198.39</v>
      </c>
      <c r="H5" s="34">
        <v>1063.9000000000001</v>
      </c>
      <c r="I5" s="34">
        <f t="shared" ref="I5:I21" si="5">SUM(G5:H5)</f>
        <v>55262.29</v>
      </c>
      <c r="J5" s="35">
        <f>I5+J4</f>
        <v>55262.29</v>
      </c>
      <c r="K5" s="34">
        <v>10125.89</v>
      </c>
      <c r="L5" s="34">
        <f t="shared" ref="L5:L21" si="6">K5</f>
        <v>10125.89</v>
      </c>
      <c r="M5" s="35">
        <f>L5+M4</f>
        <v>10125.89</v>
      </c>
      <c r="N5" s="34">
        <v>85733.49</v>
      </c>
      <c r="O5" s="34">
        <f t="shared" ref="O5:O21" si="7">N5</f>
        <v>85733.49</v>
      </c>
      <c r="P5" s="35">
        <f>O5+P4</f>
        <v>87003.49</v>
      </c>
      <c r="Q5" s="34"/>
      <c r="R5" s="34"/>
      <c r="S5" s="34">
        <f t="shared" si="0"/>
        <v>0</v>
      </c>
      <c r="T5" s="35">
        <f>S5+T4</f>
        <v>0</v>
      </c>
      <c r="U5" s="34"/>
      <c r="V5" s="34"/>
      <c r="W5" s="34">
        <f t="shared" si="1"/>
        <v>0</v>
      </c>
      <c r="X5" s="35">
        <f>W5+X4</f>
        <v>0</v>
      </c>
      <c r="Y5" s="34"/>
      <c r="Z5" s="34">
        <f t="shared" si="2"/>
        <v>0</v>
      </c>
      <c r="AA5" s="35">
        <f>AA4+Z5</f>
        <v>0</v>
      </c>
      <c r="AB5" s="34"/>
      <c r="AC5" s="34">
        <f t="shared" si="3"/>
        <v>0</v>
      </c>
      <c r="AD5" s="35">
        <f>AC5+AD4</f>
        <v>0</v>
      </c>
      <c r="AE5" s="39">
        <f t="shared" ref="AE5:AE20" si="8">E5+I5+L5+O5</f>
        <v>182094.67</v>
      </c>
      <c r="AF5" s="40">
        <f>AE5+AF4</f>
        <v>194269.67</v>
      </c>
      <c r="AG5" s="39">
        <v>179722.9</v>
      </c>
      <c r="AH5" s="41">
        <f>AG5+AH4</f>
        <v>179722.9</v>
      </c>
      <c r="AI5" s="39">
        <f t="shared" ref="AI5:AI20" si="9">AG5-AE5</f>
        <v>-2371.7700000000186</v>
      </c>
      <c r="AJ5" s="41">
        <f>AI5+AJ4</f>
        <v>-14546.770000000019</v>
      </c>
    </row>
    <row r="6" spans="1:36" x14ac:dyDescent="0.3">
      <c r="A6" s="31" t="s">
        <v>9</v>
      </c>
      <c r="B6" s="32">
        <v>46084</v>
      </c>
      <c r="C6" s="34">
        <v>30381.62</v>
      </c>
      <c r="D6" s="34">
        <v>17990</v>
      </c>
      <c r="E6" s="34">
        <f t="shared" si="4"/>
        <v>48371.619999999995</v>
      </c>
      <c r="F6" s="35">
        <f t="shared" ref="F6:F21" si="10">E6+F5</f>
        <v>90249.62</v>
      </c>
      <c r="G6" s="34">
        <v>56589.09</v>
      </c>
      <c r="H6" s="34">
        <v>201.17</v>
      </c>
      <c r="I6" s="34">
        <f t="shared" si="5"/>
        <v>56790.259999999995</v>
      </c>
      <c r="J6" s="35">
        <f>I6+J5</f>
        <v>112052.54999999999</v>
      </c>
      <c r="K6" s="34">
        <v>7475.78</v>
      </c>
      <c r="L6" s="34">
        <f t="shared" si="6"/>
        <v>7475.78</v>
      </c>
      <c r="M6" s="35">
        <f t="shared" ref="M6:M21" si="11">L6+M5</f>
        <v>17601.669999999998</v>
      </c>
      <c r="N6" s="34">
        <v>29803.29</v>
      </c>
      <c r="O6" s="34">
        <f t="shared" si="7"/>
        <v>29803.29</v>
      </c>
      <c r="P6" s="35">
        <f t="shared" ref="P6:P21" si="12">O6+P5</f>
        <v>116806.78</v>
      </c>
      <c r="Q6" s="34"/>
      <c r="R6" s="34"/>
      <c r="S6" s="34">
        <f t="shared" si="0"/>
        <v>0</v>
      </c>
      <c r="T6" s="35">
        <f t="shared" ref="T6:T20" si="13">S6+T5</f>
        <v>0</v>
      </c>
      <c r="U6" s="34"/>
      <c r="V6" s="34"/>
      <c r="W6" s="34">
        <f t="shared" si="1"/>
        <v>0</v>
      </c>
      <c r="X6" s="35">
        <f t="shared" ref="X6:X20" si="14">W6+X5</f>
        <v>0</v>
      </c>
      <c r="Y6" s="34"/>
      <c r="Z6" s="34">
        <f t="shared" si="2"/>
        <v>0</v>
      </c>
      <c r="AA6" s="35">
        <f t="shared" ref="AA6:AA20" si="15">AA5+Z6</f>
        <v>0</v>
      </c>
      <c r="AB6" s="34"/>
      <c r="AC6" s="34">
        <f t="shared" si="3"/>
        <v>0</v>
      </c>
      <c r="AD6" s="35">
        <f t="shared" ref="AD6:AD20" si="16">AC6+AD5</f>
        <v>0</v>
      </c>
      <c r="AE6" s="39">
        <f t="shared" si="8"/>
        <v>142440.94999999998</v>
      </c>
      <c r="AF6" s="40">
        <f>AE6+AF5</f>
        <v>336710.62</v>
      </c>
      <c r="AG6" s="39">
        <v>89751.56</v>
      </c>
      <c r="AH6" s="41">
        <f>AG6+AH5</f>
        <v>269474.45999999996</v>
      </c>
      <c r="AI6" s="39">
        <f t="shared" si="9"/>
        <v>-52689.389999999985</v>
      </c>
      <c r="AJ6" s="41">
        <f>AI6+AJ5</f>
        <v>-67236.160000000003</v>
      </c>
    </row>
    <row r="7" spans="1:36" x14ac:dyDescent="0.3">
      <c r="A7" s="31" t="s">
        <v>10</v>
      </c>
      <c r="B7" s="32">
        <v>46085</v>
      </c>
      <c r="C7" s="34">
        <v>26375.24</v>
      </c>
      <c r="D7" s="34">
        <v>0</v>
      </c>
      <c r="E7" s="34">
        <f t="shared" si="4"/>
        <v>26375.24</v>
      </c>
      <c r="F7" s="35">
        <f t="shared" si="10"/>
        <v>116624.86</v>
      </c>
      <c r="G7" s="34">
        <v>34726</v>
      </c>
      <c r="H7" s="34">
        <v>10033.120000000001</v>
      </c>
      <c r="I7" s="34">
        <f t="shared" si="5"/>
        <v>44759.12</v>
      </c>
      <c r="J7" s="35">
        <f t="shared" ref="J7:J21" si="17">I7+J6</f>
        <v>156811.66999999998</v>
      </c>
      <c r="K7" s="34">
        <v>7858.89</v>
      </c>
      <c r="L7" s="34">
        <f t="shared" si="6"/>
        <v>7858.89</v>
      </c>
      <c r="M7" s="35">
        <f t="shared" si="11"/>
        <v>25460.559999999998</v>
      </c>
      <c r="N7" s="34">
        <v>24919.56</v>
      </c>
      <c r="O7" s="34">
        <f t="shared" si="7"/>
        <v>24919.56</v>
      </c>
      <c r="P7" s="35">
        <f t="shared" si="12"/>
        <v>141726.34</v>
      </c>
      <c r="Q7" s="34"/>
      <c r="R7" s="34"/>
      <c r="S7" s="34">
        <f t="shared" si="0"/>
        <v>0</v>
      </c>
      <c r="T7" s="35">
        <f t="shared" si="13"/>
        <v>0</v>
      </c>
      <c r="U7" s="34"/>
      <c r="V7" s="34"/>
      <c r="W7" s="34">
        <f t="shared" si="1"/>
        <v>0</v>
      </c>
      <c r="X7" s="35">
        <f t="shared" si="14"/>
        <v>0</v>
      </c>
      <c r="Y7" s="34"/>
      <c r="Z7" s="34">
        <f t="shared" si="2"/>
        <v>0</v>
      </c>
      <c r="AA7" s="35">
        <f t="shared" si="15"/>
        <v>0</v>
      </c>
      <c r="AB7" s="34"/>
      <c r="AC7" s="34">
        <f t="shared" si="3"/>
        <v>0</v>
      </c>
      <c r="AD7" s="35">
        <f t="shared" si="16"/>
        <v>0</v>
      </c>
      <c r="AE7" s="39">
        <f t="shared" si="8"/>
        <v>103912.81</v>
      </c>
      <c r="AF7" s="40">
        <f t="shared" ref="AF7:AF20" si="18">AE7+AF6</f>
        <v>440623.43</v>
      </c>
      <c r="AG7" s="39">
        <v>72873.960000000006</v>
      </c>
      <c r="AH7" s="41">
        <f t="shared" ref="AH7:AH20" si="19">AG7+AH6</f>
        <v>342348.42</v>
      </c>
      <c r="AI7" s="39">
        <f t="shared" si="9"/>
        <v>-31038.849999999991</v>
      </c>
      <c r="AJ7" s="41">
        <f>AI7+AJ6</f>
        <v>-98275.01</v>
      </c>
    </row>
    <row r="8" spans="1:36" x14ac:dyDescent="0.3">
      <c r="A8" s="31" t="s">
        <v>11</v>
      </c>
      <c r="B8" s="32">
        <v>46086</v>
      </c>
      <c r="C8" s="34">
        <v>31634.89</v>
      </c>
      <c r="D8" s="34">
        <v>0</v>
      </c>
      <c r="E8" s="34">
        <f t="shared" si="4"/>
        <v>31634.89</v>
      </c>
      <c r="F8" s="35">
        <f t="shared" si="10"/>
        <v>148259.75</v>
      </c>
      <c r="G8" s="34">
        <v>26509.39</v>
      </c>
      <c r="H8" s="34">
        <v>12330.95</v>
      </c>
      <c r="I8" s="34">
        <f t="shared" si="5"/>
        <v>38840.339999999997</v>
      </c>
      <c r="J8" s="35">
        <f t="shared" si="17"/>
        <v>195652.00999999998</v>
      </c>
      <c r="K8" s="37">
        <f>166340.67-153521.5</f>
        <v>12819.170000000013</v>
      </c>
      <c r="L8" s="34">
        <f t="shared" si="6"/>
        <v>12819.170000000013</v>
      </c>
      <c r="M8" s="35">
        <f t="shared" si="11"/>
        <v>38279.73000000001</v>
      </c>
      <c r="N8" s="34">
        <v>24250.95</v>
      </c>
      <c r="O8" s="34">
        <f t="shared" si="7"/>
        <v>24250.95</v>
      </c>
      <c r="P8" s="35">
        <f t="shared" si="12"/>
        <v>165977.29</v>
      </c>
      <c r="Q8" s="34"/>
      <c r="R8" s="34"/>
      <c r="S8" s="34">
        <f t="shared" si="0"/>
        <v>0</v>
      </c>
      <c r="T8" s="35">
        <f t="shared" si="13"/>
        <v>0</v>
      </c>
      <c r="U8" s="34"/>
      <c r="V8" s="34"/>
      <c r="W8" s="34">
        <f t="shared" si="1"/>
        <v>0</v>
      </c>
      <c r="X8" s="35">
        <f t="shared" si="14"/>
        <v>0</v>
      </c>
      <c r="Y8" s="34"/>
      <c r="Z8" s="34">
        <f t="shared" si="2"/>
        <v>0</v>
      </c>
      <c r="AA8" s="35">
        <f t="shared" si="15"/>
        <v>0</v>
      </c>
      <c r="AB8" s="34"/>
      <c r="AC8" s="34">
        <f t="shared" si="3"/>
        <v>0</v>
      </c>
      <c r="AD8" s="35">
        <f t="shared" si="16"/>
        <v>0</v>
      </c>
      <c r="AE8" s="39">
        <f t="shared" si="8"/>
        <v>107545.35</v>
      </c>
      <c r="AF8" s="40">
        <f t="shared" si="18"/>
        <v>548168.78</v>
      </c>
      <c r="AG8" s="39">
        <v>118017.9</v>
      </c>
      <c r="AH8" s="41">
        <f t="shared" si="19"/>
        <v>460366.31999999995</v>
      </c>
      <c r="AI8" s="39">
        <f t="shared" si="9"/>
        <v>10472.549999999988</v>
      </c>
      <c r="AJ8" s="41">
        <f t="shared" ref="AJ8:AJ20" si="20">AI8+AJ7</f>
        <v>-87802.46</v>
      </c>
    </row>
    <row r="9" spans="1:36" x14ac:dyDescent="0.3">
      <c r="A9" s="31" t="s">
        <v>12</v>
      </c>
      <c r="B9" s="32">
        <v>46087</v>
      </c>
      <c r="C9" s="34">
        <v>41124.39</v>
      </c>
      <c r="D9" s="34">
        <v>0</v>
      </c>
      <c r="E9" s="34">
        <f t="shared" si="4"/>
        <v>41124.39</v>
      </c>
      <c r="F9" s="35">
        <f t="shared" si="10"/>
        <v>189384.14</v>
      </c>
      <c r="G9" s="34">
        <v>30823</v>
      </c>
      <c r="H9" s="34">
        <v>212.78</v>
      </c>
      <c r="I9" s="34">
        <f t="shared" si="5"/>
        <v>31035.78</v>
      </c>
      <c r="J9" s="35">
        <f t="shared" si="17"/>
        <v>226687.78999999998</v>
      </c>
      <c r="K9" s="34">
        <v>6139.78</v>
      </c>
      <c r="L9" s="34">
        <f t="shared" si="6"/>
        <v>6139.78</v>
      </c>
      <c r="M9" s="35">
        <f t="shared" si="11"/>
        <v>44419.510000000009</v>
      </c>
      <c r="N9" s="37">
        <f>70444.9-43350.12</f>
        <v>27094.779999999992</v>
      </c>
      <c r="O9" s="34">
        <f t="shared" si="7"/>
        <v>27094.779999999992</v>
      </c>
      <c r="P9" s="35">
        <f t="shared" si="12"/>
        <v>193072.07</v>
      </c>
      <c r="Q9" s="34"/>
      <c r="R9" s="34"/>
      <c r="S9" s="34">
        <f t="shared" si="0"/>
        <v>0</v>
      </c>
      <c r="T9" s="35">
        <f t="shared" si="13"/>
        <v>0</v>
      </c>
      <c r="U9" s="34"/>
      <c r="V9" s="34"/>
      <c r="W9" s="34">
        <f t="shared" si="1"/>
        <v>0</v>
      </c>
      <c r="X9" s="35">
        <f t="shared" si="14"/>
        <v>0</v>
      </c>
      <c r="Y9" s="34"/>
      <c r="Z9" s="34">
        <f t="shared" si="2"/>
        <v>0</v>
      </c>
      <c r="AA9" s="35">
        <f t="shared" si="15"/>
        <v>0</v>
      </c>
      <c r="AB9" s="34"/>
      <c r="AC9" s="34">
        <f t="shared" si="3"/>
        <v>0</v>
      </c>
      <c r="AD9" s="35">
        <f t="shared" si="16"/>
        <v>0</v>
      </c>
      <c r="AE9" s="39">
        <f t="shared" si="8"/>
        <v>105394.72999999998</v>
      </c>
      <c r="AF9" s="40">
        <f t="shared" si="18"/>
        <v>653563.51</v>
      </c>
      <c r="AG9" s="39">
        <v>96279.26</v>
      </c>
      <c r="AH9" s="41">
        <f t="shared" si="19"/>
        <v>556645.57999999996</v>
      </c>
      <c r="AI9" s="39">
        <f t="shared" si="9"/>
        <v>-9115.4699999999866</v>
      </c>
      <c r="AJ9" s="41">
        <f t="shared" si="20"/>
        <v>-96917.93</v>
      </c>
    </row>
    <row r="10" spans="1:36" x14ac:dyDescent="0.3">
      <c r="A10" s="31" t="s">
        <v>13</v>
      </c>
      <c r="B10" s="32">
        <v>46088</v>
      </c>
      <c r="C10" s="34">
        <v>26927.89</v>
      </c>
      <c r="D10" s="34">
        <v>0</v>
      </c>
      <c r="E10" s="34">
        <f t="shared" si="4"/>
        <v>26927.89</v>
      </c>
      <c r="F10" s="35">
        <f t="shared" si="10"/>
        <v>216312.03000000003</v>
      </c>
      <c r="G10" s="34">
        <v>62281.39</v>
      </c>
      <c r="H10" s="34">
        <v>106.39</v>
      </c>
      <c r="I10" s="34">
        <f t="shared" si="5"/>
        <v>62387.78</v>
      </c>
      <c r="J10" s="35">
        <f t="shared" si="17"/>
        <v>289075.56999999995</v>
      </c>
      <c r="K10" s="34">
        <v>4375.8900000000003</v>
      </c>
      <c r="L10" s="34">
        <f t="shared" si="6"/>
        <v>4375.8900000000003</v>
      </c>
      <c r="M10" s="35">
        <f t="shared" si="11"/>
        <v>48795.400000000009</v>
      </c>
      <c r="N10" s="34">
        <v>36613.39</v>
      </c>
      <c r="O10" s="34">
        <f t="shared" si="7"/>
        <v>36613.39</v>
      </c>
      <c r="P10" s="35">
        <f t="shared" si="12"/>
        <v>229685.46000000002</v>
      </c>
      <c r="Q10" s="34">
        <v>0</v>
      </c>
      <c r="R10" s="34">
        <v>0</v>
      </c>
      <c r="S10" s="34">
        <f t="shared" si="0"/>
        <v>0</v>
      </c>
      <c r="T10" s="35">
        <f t="shared" si="13"/>
        <v>0</v>
      </c>
      <c r="U10" s="34">
        <v>0</v>
      </c>
      <c r="V10" s="34">
        <v>0</v>
      </c>
      <c r="W10" s="34">
        <f t="shared" si="1"/>
        <v>0</v>
      </c>
      <c r="X10" s="35">
        <f t="shared" si="14"/>
        <v>0</v>
      </c>
      <c r="Y10" s="34">
        <v>0</v>
      </c>
      <c r="Z10" s="34">
        <f t="shared" si="2"/>
        <v>0</v>
      </c>
      <c r="AA10" s="35">
        <f t="shared" si="15"/>
        <v>0</v>
      </c>
      <c r="AB10" s="34">
        <v>0</v>
      </c>
      <c r="AC10" s="34">
        <f t="shared" si="3"/>
        <v>0</v>
      </c>
      <c r="AD10" s="35">
        <f t="shared" si="16"/>
        <v>0</v>
      </c>
      <c r="AE10" s="39">
        <f t="shared" si="8"/>
        <v>130304.95</v>
      </c>
      <c r="AF10" s="40">
        <f t="shared" si="18"/>
        <v>783868.46</v>
      </c>
      <c r="AG10" s="39">
        <v>0</v>
      </c>
      <c r="AH10" s="41">
        <f t="shared" si="19"/>
        <v>556645.57999999996</v>
      </c>
      <c r="AI10" s="39">
        <f t="shared" si="9"/>
        <v>-130304.95</v>
      </c>
      <c r="AJ10" s="41">
        <f t="shared" si="20"/>
        <v>-227222.88</v>
      </c>
    </row>
    <row r="11" spans="1:36" x14ac:dyDescent="0.3">
      <c r="A11" s="31" t="s">
        <v>7</v>
      </c>
      <c r="B11" s="32">
        <v>46089</v>
      </c>
      <c r="C11" s="34">
        <v>7999</v>
      </c>
      <c r="D11" s="34">
        <v>0</v>
      </c>
      <c r="E11" s="34">
        <f t="shared" si="4"/>
        <v>7999</v>
      </c>
      <c r="F11" s="35">
        <f t="shared" si="10"/>
        <v>224311.03000000003</v>
      </c>
      <c r="G11" s="34">
        <v>0</v>
      </c>
      <c r="H11" s="34">
        <v>0</v>
      </c>
      <c r="I11" s="34">
        <f t="shared" si="5"/>
        <v>0</v>
      </c>
      <c r="J11" s="35">
        <f t="shared" si="17"/>
        <v>289075.56999999995</v>
      </c>
      <c r="K11" s="34">
        <v>0</v>
      </c>
      <c r="L11" s="34">
        <f t="shared" si="6"/>
        <v>0</v>
      </c>
      <c r="M11" s="35">
        <f t="shared" si="11"/>
        <v>48795.400000000009</v>
      </c>
      <c r="N11" s="34">
        <v>5946.39</v>
      </c>
      <c r="O11" s="34">
        <f t="shared" si="7"/>
        <v>5946.39</v>
      </c>
      <c r="P11" s="35">
        <f t="shared" si="12"/>
        <v>235631.85000000003</v>
      </c>
      <c r="Q11" s="34">
        <v>0</v>
      </c>
      <c r="R11" s="34">
        <v>0</v>
      </c>
      <c r="S11" s="34">
        <f t="shared" si="0"/>
        <v>0</v>
      </c>
      <c r="T11" s="35">
        <f t="shared" si="13"/>
        <v>0</v>
      </c>
      <c r="U11" s="34">
        <v>0</v>
      </c>
      <c r="V11" s="34">
        <v>0</v>
      </c>
      <c r="W11" s="34">
        <f t="shared" si="1"/>
        <v>0</v>
      </c>
      <c r="X11" s="35">
        <f t="shared" si="14"/>
        <v>0</v>
      </c>
      <c r="Y11" s="34">
        <v>0</v>
      </c>
      <c r="Z11" s="34">
        <f t="shared" si="2"/>
        <v>0</v>
      </c>
      <c r="AA11" s="35">
        <f t="shared" si="15"/>
        <v>0</v>
      </c>
      <c r="AB11" s="34">
        <v>0</v>
      </c>
      <c r="AC11" s="34">
        <f t="shared" si="3"/>
        <v>0</v>
      </c>
      <c r="AD11" s="35">
        <f t="shared" si="16"/>
        <v>0</v>
      </c>
      <c r="AE11" s="39">
        <f t="shared" si="8"/>
        <v>13945.39</v>
      </c>
      <c r="AF11" s="40">
        <f t="shared" si="18"/>
        <v>797813.85</v>
      </c>
      <c r="AG11" s="39">
        <v>0</v>
      </c>
      <c r="AH11" s="41">
        <f t="shared" si="19"/>
        <v>556645.57999999996</v>
      </c>
      <c r="AI11" s="39">
        <f t="shared" si="9"/>
        <v>-13945.39</v>
      </c>
      <c r="AJ11" s="41">
        <f t="shared" si="20"/>
        <v>-241168.27000000002</v>
      </c>
    </row>
    <row r="12" spans="1:36" x14ac:dyDescent="0.3">
      <c r="A12" s="31" t="s">
        <v>8</v>
      </c>
      <c r="B12" s="32">
        <v>46090</v>
      </c>
      <c r="C12" s="34">
        <v>21148.17</v>
      </c>
      <c r="D12" s="34">
        <v>0</v>
      </c>
      <c r="E12" s="34">
        <f t="shared" si="4"/>
        <v>21148.17</v>
      </c>
      <c r="F12" s="35">
        <f t="shared" si="10"/>
        <v>245459.20000000001</v>
      </c>
      <c r="G12" s="34">
        <v>46453</v>
      </c>
      <c r="H12" s="34">
        <v>744.73</v>
      </c>
      <c r="I12" s="34">
        <f t="shared" si="5"/>
        <v>47197.73</v>
      </c>
      <c r="J12" s="35">
        <f t="shared" si="17"/>
        <v>336273.29999999993</v>
      </c>
      <c r="K12" s="34">
        <v>10505</v>
      </c>
      <c r="L12" s="34">
        <f t="shared" si="6"/>
        <v>10505</v>
      </c>
      <c r="M12" s="35">
        <f t="shared" si="11"/>
        <v>59300.400000000009</v>
      </c>
      <c r="N12" s="34">
        <v>19601.169999999998</v>
      </c>
      <c r="O12" s="34">
        <f t="shared" si="7"/>
        <v>19601.169999999998</v>
      </c>
      <c r="P12" s="35">
        <f t="shared" si="12"/>
        <v>255233.02000000002</v>
      </c>
      <c r="Q12" s="34"/>
      <c r="R12" s="34"/>
      <c r="S12" s="34">
        <f t="shared" si="0"/>
        <v>0</v>
      </c>
      <c r="T12" s="35">
        <f t="shared" si="13"/>
        <v>0</v>
      </c>
      <c r="U12" s="34"/>
      <c r="V12" s="34"/>
      <c r="W12" s="34">
        <f t="shared" si="1"/>
        <v>0</v>
      </c>
      <c r="X12" s="35">
        <f t="shared" si="14"/>
        <v>0</v>
      </c>
      <c r="Y12" s="34"/>
      <c r="Z12" s="34">
        <f t="shared" si="2"/>
        <v>0</v>
      </c>
      <c r="AA12" s="35">
        <f t="shared" si="15"/>
        <v>0</v>
      </c>
      <c r="AB12" s="34"/>
      <c r="AC12" s="34">
        <f t="shared" si="3"/>
        <v>0</v>
      </c>
      <c r="AD12" s="35">
        <f t="shared" si="16"/>
        <v>0</v>
      </c>
      <c r="AE12" s="39">
        <f t="shared" si="8"/>
        <v>98452.069999999992</v>
      </c>
      <c r="AF12" s="40">
        <f t="shared" si="18"/>
        <v>896265.91999999993</v>
      </c>
      <c r="AG12" s="39">
        <v>165603.78</v>
      </c>
      <c r="AH12" s="41">
        <f t="shared" si="19"/>
        <v>722249.36</v>
      </c>
      <c r="AI12" s="39">
        <f t="shared" si="9"/>
        <v>67151.710000000006</v>
      </c>
      <c r="AJ12" s="41">
        <f t="shared" si="20"/>
        <v>-174016.56</v>
      </c>
    </row>
    <row r="13" spans="1:36" x14ac:dyDescent="0.3">
      <c r="A13" s="31" t="s">
        <v>9</v>
      </c>
      <c r="B13" s="32">
        <v>46091</v>
      </c>
      <c r="C13" s="34">
        <v>34271.29</v>
      </c>
      <c r="D13" s="34">
        <v>0</v>
      </c>
      <c r="E13" s="34">
        <f t="shared" si="4"/>
        <v>34271.29</v>
      </c>
      <c r="F13" s="35">
        <f t="shared" si="10"/>
        <v>279730.49</v>
      </c>
      <c r="G13" s="37">
        <f>71492.87-17000</f>
        <v>54492.869999999995</v>
      </c>
      <c r="H13" s="34">
        <v>5961.95</v>
      </c>
      <c r="I13" s="34">
        <f t="shared" si="5"/>
        <v>60454.819999999992</v>
      </c>
      <c r="J13" s="35">
        <f t="shared" si="17"/>
        <v>396728.11999999994</v>
      </c>
      <c r="K13" s="34">
        <v>9482.2800000000007</v>
      </c>
      <c r="L13" s="34">
        <f t="shared" si="6"/>
        <v>9482.2800000000007</v>
      </c>
      <c r="M13" s="35">
        <f t="shared" si="11"/>
        <v>68782.680000000008</v>
      </c>
      <c r="N13" s="34">
        <v>27712.78</v>
      </c>
      <c r="O13" s="34">
        <f t="shared" si="7"/>
        <v>27712.78</v>
      </c>
      <c r="P13" s="35">
        <f t="shared" si="12"/>
        <v>282945.80000000005</v>
      </c>
      <c r="Q13" s="34"/>
      <c r="R13" s="34"/>
      <c r="S13" s="34">
        <f t="shared" si="0"/>
        <v>0</v>
      </c>
      <c r="T13" s="35">
        <f t="shared" si="13"/>
        <v>0</v>
      </c>
      <c r="U13" s="34"/>
      <c r="V13" s="34"/>
      <c r="W13" s="34">
        <f t="shared" si="1"/>
        <v>0</v>
      </c>
      <c r="X13" s="35">
        <f t="shared" si="14"/>
        <v>0</v>
      </c>
      <c r="Y13" s="34"/>
      <c r="Z13" s="34">
        <f t="shared" si="2"/>
        <v>0</v>
      </c>
      <c r="AA13" s="35">
        <f t="shared" si="15"/>
        <v>0</v>
      </c>
      <c r="AB13" s="34"/>
      <c r="AC13" s="34">
        <f t="shared" si="3"/>
        <v>0</v>
      </c>
      <c r="AD13" s="35">
        <f t="shared" si="16"/>
        <v>0</v>
      </c>
      <c r="AE13" s="39">
        <f t="shared" si="8"/>
        <v>131921.16999999998</v>
      </c>
      <c r="AF13" s="40">
        <f t="shared" si="18"/>
        <v>1028187.0899999999</v>
      </c>
      <c r="AG13" s="39">
        <v>126688.25</v>
      </c>
      <c r="AH13" s="41">
        <f t="shared" si="19"/>
        <v>848937.61</v>
      </c>
      <c r="AI13" s="39">
        <f t="shared" si="9"/>
        <v>-5232.9199999999837</v>
      </c>
      <c r="AJ13" s="41">
        <f t="shared" si="20"/>
        <v>-179249.47999999998</v>
      </c>
    </row>
    <row r="14" spans="1:36" x14ac:dyDescent="0.3">
      <c r="A14" s="31" t="s">
        <v>10</v>
      </c>
      <c r="B14" s="32">
        <v>46092</v>
      </c>
      <c r="C14" s="34">
        <v>33376.5</v>
      </c>
      <c r="D14" s="34">
        <v>0</v>
      </c>
      <c r="E14" s="34">
        <f t="shared" si="4"/>
        <v>33376.5</v>
      </c>
      <c r="F14" s="35">
        <f t="shared" si="10"/>
        <v>313106.99</v>
      </c>
      <c r="G14" s="34">
        <v>23570.39</v>
      </c>
      <c r="H14" s="34">
        <v>11428.67</v>
      </c>
      <c r="I14" s="34">
        <f t="shared" si="5"/>
        <v>34999.06</v>
      </c>
      <c r="J14" s="35">
        <f t="shared" si="17"/>
        <v>431727.17999999993</v>
      </c>
      <c r="K14" s="34">
        <v>8377.89</v>
      </c>
      <c r="L14" s="34">
        <f t="shared" si="6"/>
        <v>8377.89</v>
      </c>
      <c r="M14" s="35">
        <f t="shared" si="11"/>
        <v>77160.570000000007</v>
      </c>
      <c r="N14" s="34">
        <v>62571.95</v>
      </c>
      <c r="O14" s="34">
        <f t="shared" si="7"/>
        <v>62571.95</v>
      </c>
      <c r="P14" s="35">
        <f t="shared" si="12"/>
        <v>345517.75000000006</v>
      </c>
      <c r="Q14" s="34"/>
      <c r="R14" s="34"/>
      <c r="S14" s="34">
        <f t="shared" si="0"/>
        <v>0</v>
      </c>
      <c r="T14" s="35">
        <f t="shared" si="13"/>
        <v>0</v>
      </c>
      <c r="U14" s="34"/>
      <c r="V14" s="34"/>
      <c r="W14" s="34">
        <f t="shared" si="1"/>
        <v>0</v>
      </c>
      <c r="X14" s="35">
        <f t="shared" si="14"/>
        <v>0</v>
      </c>
      <c r="Y14" s="34"/>
      <c r="Z14" s="34">
        <f t="shared" si="2"/>
        <v>0</v>
      </c>
      <c r="AA14" s="35">
        <f t="shared" si="15"/>
        <v>0</v>
      </c>
      <c r="AB14" s="34"/>
      <c r="AC14" s="34">
        <f t="shared" si="3"/>
        <v>0</v>
      </c>
      <c r="AD14" s="35">
        <f t="shared" si="16"/>
        <v>0</v>
      </c>
      <c r="AE14" s="39">
        <f>E14+I14+L14+O14</f>
        <v>139325.4</v>
      </c>
      <c r="AF14" s="40">
        <f t="shared" si="18"/>
        <v>1167512.4899999998</v>
      </c>
      <c r="AG14" s="39">
        <v>94669.97</v>
      </c>
      <c r="AH14" s="41">
        <f t="shared" si="19"/>
        <v>943607.58</v>
      </c>
      <c r="AI14" s="39">
        <f t="shared" si="9"/>
        <v>-44655.429999999993</v>
      </c>
      <c r="AJ14" s="41">
        <f t="shared" si="20"/>
        <v>-223904.90999999997</v>
      </c>
    </row>
    <row r="15" spans="1:36" x14ac:dyDescent="0.3">
      <c r="A15" s="31" t="s">
        <v>11</v>
      </c>
      <c r="B15" s="32">
        <v>46093</v>
      </c>
      <c r="C15" s="34">
        <v>24563</v>
      </c>
      <c r="D15" s="34">
        <v>0</v>
      </c>
      <c r="E15" s="34">
        <f t="shared" si="4"/>
        <v>24563</v>
      </c>
      <c r="F15" s="35">
        <f t="shared" si="10"/>
        <v>337669.99</v>
      </c>
      <c r="G15" s="34">
        <v>54115.39</v>
      </c>
      <c r="H15" s="34">
        <v>531.95000000000005</v>
      </c>
      <c r="I15" s="34">
        <f t="shared" si="5"/>
        <v>54647.34</v>
      </c>
      <c r="J15" s="35">
        <f t="shared" si="17"/>
        <v>486374.5199999999</v>
      </c>
      <c r="K15" s="34">
        <v>5084.8900000000003</v>
      </c>
      <c r="L15" s="34">
        <f t="shared" si="6"/>
        <v>5084.8900000000003</v>
      </c>
      <c r="M15" s="35">
        <f t="shared" si="11"/>
        <v>82245.460000000006</v>
      </c>
      <c r="N15" s="34">
        <v>25384</v>
      </c>
      <c r="O15" s="34">
        <f t="shared" si="7"/>
        <v>25384</v>
      </c>
      <c r="P15" s="35">
        <f t="shared" si="12"/>
        <v>370901.75000000006</v>
      </c>
      <c r="Q15" s="34"/>
      <c r="R15" s="34"/>
      <c r="S15" s="34">
        <f t="shared" si="0"/>
        <v>0</v>
      </c>
      <c r="T15" s="35">
        <f t="shared" si="13"/>
        <v>0</v>
      </c>
      <c r="U15" s="34"/>
      <c r="V15" s="34"/>
      <c r="W15" s="34">
        <f t="shared" si="1"/>
        <v>0</v>
      </c>
      <c r="X15" s="35">
        <f t="shared" si="14"/>
        <v>0</v>
      </c>
      <c r="Y15" s="34"/>
      <c r="Z15" s="34">
        <f t="shared" si="2"/>
        <v>0</v>
      </c>
      <c r="AA15" s="35">
        <f t="shared" si="15"/>
        <v>0</v>
      </c>
      <c r="AB15" s="34"/>
      <c r="AC15" s="34">
        <f t="shared" si="3"/>
        <v>0</v>
      </c>
      <c r="AD15" s="35">
        <f t="shared" si="16"/>
        <v>0</v>
      </c>
      <c r="AE15" s="39">
        <f t="shared" si="8"/>
        <v>109679.23</v>
      </c>
      <c r="AF15" s="40">
        <f t="shared" si="18"/>
        <v>1277191.7199999997</v>
      </c>
      <c r="AG15" s="39">
        <v>85144.89</v>
      </c>
      <c r="AH15" s="41">
        <f t="shared" si="19"/>
        <v>1028752.47</v>
      </c>
      <c r="AI15" s="39">
        <f t="shared" si="9"/>
        <v>-24534.339999999997</v>
      </c>
      <c r="AJ15" s="41">
        <f t="shared" si="20"/>
        <v>-248439.24999999997</v>
      </c>
    </row>
    <row r="16" spans="1:36" x14ac:dyDescent="0.3">
      <c r="A16" s="31" t="s">
        <v>12</v>
      </c>
      <c r="B16" s="32">
        <v>46094</v>
      </c>
      <c r="C16" s="34">
        <v>24570.89</v>
      </c>
      <c r="D16" s="34">
        <v>0</v>
      </c>
      <c r="E16" s="34">
        <f t="shared" si="4"/>
        <v>24570.89</v>
      </c>
      <c r="F16" s="35">
        <f t="shared" si="10"/>
        <v>362240.88</v>
      </c>
      <c r="G16" s="34">
        <v>59304.89</v>
      </c>
      <c r="H16" s="34">
        <v>0</v>
      </c>
      <c r="I16" s="34">
        <f t="shared" si="5"/>
        <v>59304.89</v>
      </c>
      <c r="J16" s="35">
        <f t="shared" si="17"/>
        <v>545679.40999999992</v>
      </c>
      <c r="K16" s="34">
        <v>8262.7800000000007</v>
      </c>
      <c r="L16" s="34">
        <f t="shared" si="6"/>
        <v>8262.7800000000007</v>
      </c>
      <c r="M16" s="35">
        <f t="shared" si="11"/>
        <v>90508.24</v>
      </c>
      <c r="N16" s="34">
        <v>26408.560000000001</v>
      </c>
      <c r="O16" s="34">
        <f t="shared" si="7"/>
        <v>26408.560000000001</v>
      </c>
      <c r="P16" s="35">
        <f t="shared" si="12"/>
        <v>397310.31000000006</v>
      </c>
      <c r="Q16" s="34"/>
      <c r="R16" s="34"/>
      <c r="S16" s="34">
        <f t="shared" si="0"/>
        <v>0</v>
      </c>
      <c r="T16" s="35">
        <f t="shared" si="13"/>
        <v>0</v>
      </c>
      <c r="U16" s="34"/>
      <c r="V16" s="34"/>
      <c r="W16" s="34">
        <f t="shared" si="1"/>
        <v>0</v>
      </c>
      <c r="X16" s="35">
        <f t="shared" si="14"/>
        <v>0</v>
      </c>
      <c r="Y16" s="34"/>
      <c r="Z16" s="34">
        <f t="shared" si="2"/>
        <v>0</v>
      </c>
      <c r="AA16" s="35">
        <f t="shared" si="15"/>
        <v>0</v>
      </c>
      <c r="AB16" s="34"/>
      <c r="AC16" s="34">
        <f t="shared" si="3"/>
        <v>0</v>
      </c>
      <c r="AD16" s="35">
        <f t="shared" si="16"/>
        <v>0</v>
      </c>
      <c r="AE16" s="39">
        <f t="shared" si="8"/>
        <v>118547.12</v>
      </c>
      <c r="AF16" s="40">
        <f t="shared" si="18"/>
        <v>1395738.8399999999</v>
      </c>
      <c r="AG16" s="39">
        <v>94452.55</v>
      </c>
      <c r="AH16" s="41">
        <f t="shared" si="19"/>
        <v>1123205.02</v>
      </c>
      <c r="AI16" s="39">
        <f t="shared" si="9"/>
        <v>-24094.569999999992</v>
      </c>
      <c r="AJ16" s="41">
        <f t="shared" si="20"/>
        <v>-272533.81999999995</v>
      </c>
    </row>
    <row r="17" spans="1:36" x14ac:dyDescent="0.3">
      <c r="A17" s="31" t="s">
        <v>13</v>
      </c>
      <c r="B17" s="32">
        <v>46095</v>
      </c>
      <c r="C17" s="34">
        <v>14308.89</v>
      </c>
      <c r="D17" s="34">
        <v>0</v>
      </c>
      <c r="E17" s="34">
        <f t="shared" si="4"/>
        <v>14308.89</v>
      </c>
      <c r="F17" s="35">
        <f t="shared" si="10"/>
        <v>376549.77</v>
      </c>
      <c r="G17" s="34">
        <v>51980</v>
      </c>
      <c r="H17" s="34">
        <v>0</v>
      </c>
      <c r="I17" s="34">
        <f t="shared" si="5"/>
        <v>51980</v>
      </c>
      <c r="J17" s="35">
        <f t="shared" si="17"/>
        <v>597659.40999999992</v>
      </c>
      <c r="K17" s="34">
        <v>6220.5</v>
      </c>
      <c r="L17" s="34">
        <f t="shared" si="6"/>
        <v>6220.5</v>
      </c>
      <c r="M17" s="35">
        <f t="shared" si="11"/>
        <v>96728.74</v>
      </c>
      <c r="N17" s="34">
        <v>23334.39</v>
      </c>
      <c r="O17" s="34">
        <f t="shared" si="7"/>
        <v>23334.39</v>
      </c>
      <c r="P17" s="35">
        <f t="shared" si="12"/>
        <v>420644.70000000007</v>
      </c>
      <c r="Q17" s="34">
        <v>0</v>
      </c>
      <c r="R17" s="34">
        <v>0</v>
      </c>
      <c r="S17" s="34">
        <f t="shared" si="0"/>
        <v>0</v>
      </c>
      <c r="T17" s="35">
        <f t="shared" si="13"/>
        <v>0</v>
      </c>
      <c r="U17" s="34"/>
      <c r="V17" s="34"/>
      <c r="W17" s="34">
        <f t="shared" si="1"/>
        <v>0</v>
      </c>
      <c r="X17" s="35">
        <f t="shared" si="14"/>
        <v>0</v>
      </c>
      <c r="Y17" s="34">
        <v>0</v>
      </c>
      <c r="Z17" s="34">
        <f t="shared" si="2"/>
        <v>0</v>
      </c>
      <c r="AA17" s="35">
        <f t="shared" si="15"/>
        <v>0</v>
      </c>
      <c r="AB17" s="34">
        <v>0</v>
      </c>
      <c r="AC17" s="34">
        <f t="shared" si="3"/>
        <v>0</v>
      </c>
      <c r="AD17" s="35">
        <f t="shared" si="16"/>
        <v>0</v>
      </c>
      <c r="AE17" s="39">
        <f t="shared" si="8"/>
        <v>95843.78</v>
      </c>
      <c r="AF17" s="40">
        <f t="shared" si="18"/>
        <v>1491582.6199999999</v>
      </c>
      <c r="AG17" s="39">
        <v>0</v>
      </c>
      <c r="AH17" s="41">
        <f t="shared" si="19"/>
        <v>1123205.02</v>
      </c>
      <c r="AI17" s="39">
        <f t="shared" si="9"/>
        <v>-95843.78</v>
      </c>
      <c r="AJ17" s="41">
        <f t="shared" si="20"/>
        <v>-368377.59999999998</v>
      </c>
    </row>
    <row r="18" spans="1:36" x14ac:dyDescent="0.3">
      <c r="A18" s="31" t="s">
        <v>7</v>
      </c>
      <c r="B18" s="32">
        <v>46096</v>
      </c>
      <c r="C18" s="34">
        <v>8123</v>
      </c>
      <c r="D18" s="34">
        <v>0</v>
      </c>
      <c r="E18" s="34">
        <f t="shared" si="4"/>
        <v>8123</v>
      </c>
      <c r="F18" s="35">
        <f t="shared" si="10"/>
        <v>384672.77</v>
      </c>
      <c r="G18" s="34">
        <v>0</v>
      </c>
      <c r="H18" s="34">
        <v>0</v>
      </c>
      <c r="I18" s="34">
        <f t="shared" si="5"/>
        <v>0</v>
      </c>
      <c r="J18" s="35">
        <f t="shared" si="17"/>
        <v>597659.40999999992</v>
      </c>
      <c r="K18" s="34">
        <v>0</v>
      </c>
      <c r="L18" s="34">
        <f t="shared" si="6"/>
        <v>0</v>
      </c>
      <c r="M18" s="35">
        <f t="shared" si="11"/>
        <v>96728.74</v>
      </c>
      <c r="N18" s="34">
        <v>1376.39</v>
      </c>
      <c r="O18" s="34">
        <f t="shared" si="7"/>
        <v>1376.39</v>
      </c>
      <c r="P18" s="35">
        <f t="shared" si="12"/>
        <v>422021.09000000008</v>
      </c>
      <c r="Q18" s="34"/>
      <c r="R18" s="34"/>
      <c r="S18" s="34">
        <f t="shared" si="0"/>
        <v>0</v>
      </c>
      <c r="T18" s="35">
        <f t="shared" si="13"/>
        <v>0</v>
      </c>
      <c r="U18" s="34"/>
      <c r="V18" s="34"/>
      <c r="W18" s="34">
        <f t="shared" si="1"/>
        <v>0</v>
      </c>
      <c r="X18" s="35">
        <f t="shared" si="14"/>
        <v>0</v>
      </c>
      <c r="Y18" s="34">
        <v>0</v>
      </c>
      <c r="Z18" s="34">
        <f t="shared" si="2"/>
        <v>0</v>
      </c>
      <c r="AA18" s="35">
        <f t="shared" si="15"/>
        <v>0</v>
      </c>
      <c r="AB18" s="34">
        <v>0</v>
      </c>
      <c r="AC18" s="34">
        <f t="shared" si="3"/>
        <v>0</v>
      </c>
      <c r="AD18" s="35">
        <f t="shared" si="16"/>
        <v>0</v>
      </c>
      <c r="AE18" s="39">
        <f t="shared" si="8"/>
        <v>9499.39</v>
      </c>
      <c r="AF18" s="40">
        <f t="shared" si="18"/>
        <v>1501082.0099999998</v>
      </c>
      <c r="AG18" s="39">
        <v>0</v>
      </c>
      <c r="AH18" s="41">
        <f t="shared" si="19"/>
        <v>1123205.02</v>
      </c>
      <c r="AI18" s="39">
        <f t="shared" si="9"/>
        <v>-9499.39</v>
      </c>
      <c r="AJ18" s="41">
        <f t="shared" si="20"/>
        <v>-377876.99</v>
      </c>
    </row>
    <row r="19" spans="1:36" x14ac:dyDescent="0.3">
      <c r="A19" s="31" t="s">
        <v>8</v>
      </c>
      <c r="B19" s="32">
        <v>46097</v>
      </c>
      <c r="C19" s="34">
        <v>12701</v>
      </c>
      <c r="D19" s="34">
        <v>22296.75</v>
      </c>
      <c r="E19" s="34">
        <f t="shared" si="4"/>
        <v>34997.75</v>
      </c>
      <c r="F19" s="35">
        <f t="shared" si="10"/>
        <v>419670.52</v>
      </c>
      <c r="G19" s="34">
        <v>41431.5</v>
      </c>
      <c r="H19" s="38">
        <v>638.34</v>
      </c>
      <c r="I19" s="34">
        <f t="shared" si="5"/>
        <v>42069.84</v>
      </c>
      <c r="J19" s="35">
        <f t="shared" si="17"/>
        <v>639729.24999999988</v>
      </c>
      <c r="K19" s="34">
        <v>14548</v>
      </c>
      <c r="L19" s="34">
        <f t="shared" si="6"/>
        <v>14548</v>
      </c>
      <c r="M19" s="35">
        <f t="shared" si="11"/>
        <v>111276.74</v>
      </c>
      <c r="N19" s="34">
        <v>28297.56</v>
      </c>
      <c r="O19" s="34">
        <f t="shared" si="7"/>
        <v>28297.56</v>
      </c>
      <c r="P19" s="35">
        <f t="shared" si="12"/>
        <v>450318.65000000008</v>
      </c>
      <c r="Q19" s="34">
        <f>15472.2+37025.05</f>
        <v>52497.25</v>
      </c>
      <c r="R19" s="34">
        <v>7319.11</v>
      </c>
      <c r="S19" s="34">
        <f t="shared" si="0"/>
        <v>59816.36</v>
      </c>
      <c r="T19" s="35">
        <f t="shared" si="13"/>
        <v>59816.36</v>
      </c>
      <c r="U19" s="34">
        <f>24549.27+21935.5+636</f>
        <v>47120.770000000004</v>
      </c>
      <c r="V19" s="34">
        <f>851.12+7500</f>
        <v>8351.1200000000008</v>
      </c>
      <c r="W19" s="34">
        <f>SUM(U19:V19)</f>
        <v>55471.890000000007</v>
      </c>
      <c r="X19" s="35">
        <f t="shared" si="14"/>
        <v>55471.890000000007</v>
      </c>
      <c r="Y19" s="34">
        <v>18412.240000000002</v>
      </c>
      <c r="Z19" s="34">
        <f>SUM(Y19)</f>
        <v>18412.240000000002</v>
      </c>
      <c r="AA19" s="35">
        <f t="shared" si="15"/>
        <v>18412.240000000002</v>
      </c>
      <c r="AB19" s="34">
        <v>44982.27</v>
      </c>
      <c r="AC19" s="34">
        <f>SUM(AB19)</f>
        <v>44982.27</v>
      </c>
      <c r="AD19" s="35">
        <f t="shared" si="16"/>
        <v>44982.27</v>
      </c>
      <c r="AE19" s="39">
        <f t="shared" si="8"/>
        <v>119913.15</v>
      </c>
      <c r="AF19" s="40">
        <f t="shared" si="18"/>
        <v>1620995.1599999997</v>
      </c>
      <c r="AG19" s="39">
        <f>S19+W19+Z19+AC19</f>
        <v>178682.75999999998</v>
      </c>
      <c r="AH19" s="41">
        <f t="shared" si="19"/>
        <v>1301887.78</v>
      </c>
      <c r="AI19" s="39">
        <f t="shared" si="9"/>
        <v>58769.609999999986</v>
      </c>
      <c r="AJ19" s="41">
        <f t="shared" si="20"/>
        <v>-319107.38</v>
      </c>
    </row>
    <row r="20" spans="1:36" x14ac:dyDescent="0.3">
      <c r="A20" s="31" t="s">
        <v>9</v>
      </c>
      <c r="B20" s="32">
        <v>46098</v>
      </c>
      <c r="C20" s="34">
        <v>25373.5</v>
      </c>
      <c r="D20" s="34">
        <v>8377.57</v>
      </c>
      <c r="E20" s="34">
        <f t="shared" si="4"/>
        <v>33751.07</v>
      </c>
      <c r="F20" s="35">
        <f t="shared" si="10"/>
        <v>453421.59</v>
      </c>
      <c r="G20" s="34">
        <v>57342.71</v>
      </c>
      <c r="H20" s="34">
        <v>8402.33</v>
      </c>
      <c r="I20" s="34">
        <f t="shared" si="5"/>
        <v>65745.039999999994</v>
      </c>
      <c r="J20" s="35">
        <f t="shared" si="17"/>
        <v>705474.28999999992</v>
      </c>
      <c r="K20" s="34">
        <v>6292.89</v>
      </c>
      <c r="L20" s="34">
        <f t="shared" si="6"/>
        <v>6292.89</v>
      </c>
      <c r="M20" s="35">
        <f t="shared" si="11"/>
        <v>117569.63</v>
      </c>
      <c r="N20" s="34">
        <v>21708.95</v>
      </c>
      <c r="O20" s="34">
        <f t="shared" si="7"/>
        <v>21708.95</v>
      </c>
      <c r="P20" s="35">
        <f t="shared" si="12"/>
        <v>472027.60000000009</v>
      </c>
      <c r="Q20" s="34">
        <f>5017.51+27553.09</f>
        <v>32570.6</v>
      </c>
      <c r="R20" s="34">
        <v>2159.64</v>
      </c>
      <c r="S20" s="34">
        <f>SUM(Q20:R20)</f>
        <v>34730.239999999998</v>
      </c>
      <c r="T20" s="35">
        <f t="shared" si="13"/>
        <v>94546.6</v>
      </c>
      <c r="U20" s="34">
        <f>7485.54+15744</f>
        <v>23229.54</v>
      </c>
      <c r="V20" s="34">
        <v>425.56</v>
      </c>
      <c r="W20" s="34">
        <f>SUM(U20:V20)</f>
        <v>23655.100000000002</v>
      </c>
      <c r="X20" s="35">
        <f t="shared" si="14"/>
        <v>79126.990000000005</v>
      </c>
      <c r="Y20" s="34">
        <v>8972.0300000000007</v>
      </c>
      <c r="Z20" s="34">
        <f>SUM(Y20)</f>
        <v>8972.0300000000007</v>
      </c>
      <c r="AA20" s="35">
        <f t="shared" si="15"/>
        <v>27384.270000000004</v>
      </c>
      <c r="AB20" s="34">
        <v>45808.58</v>
      </c>
      <c r="AC20" s="34">
        <f>SUM(AB20)</f>
        <v>45808.58</v>
      </c>
      <c r="AD20" s="35">
        <f t="shared" si="16"/>
        <v>90790.85</v>
      </c>
      <c r="AE20" s="39">
        <f t="shared" si="8"/>
        <v>127497.94999999998</v>
      </c>
      <c r="AF20" s="40">
        <f t="shared" si="18"/>
        <v>1748493.1099999996</v>
      </c>
      <c r="AG20" s="39">
        <f>S20+W20+Z20+AC20</f>
        <v>113165.95</v>
      </c>
      <c r="AH20" s="41">
        <f t="shared" si="19"/>
        <v>1415053.73</v>
      </c>
      <c r="AI20" s="39">
        <f t="shared" si="9"/>
        <v>-14331.999999999985</v>
      </c>
      <c r="AJ20" s="41">
        <f t="shared" si="20"/>
        <v>-333439.38</v>
      </c>
    </row>
    <row r="21" spans="1:36" x14ac:dyDescent="0.3">
      <c r="A21" s="31" t="s">
        <v>10</v>
      </c>
      <c r="B21" s="32">
        <v>46099</v>
      </c>
      <c r="C21" s="34">
        <v>24587.58</v>
      </c>
      <c r="D21" s="38"/>
      <c r="E21" s="34">
        <f t="shared" si="4"/>
        <v>24587.58</v>
      </c>
      <c r="F21" s="35">
        <f t="shared" si="10"/>
        <v>478009.17000000004</v>
      </c>
      <c r="G21" s="34">
        <v>23279.78</v>
      </c>
      <c r="H21" s="34">
        <v>7577.78</v>
      </c>
      <c r="I21" s="34">
        <f t="shared" si="5"/>
        <v>30857.559999999998</v>
      </c>
      <c r="J21" s="35">
        <f t="shared" si="17"/>
        <v>736331.84999999986</v>
      </c>
      <c r="K21" s="38"/>
      <c r="L21" s="34">
        <f t="shared" si="6"/>
        <v>0</v>
      </c>
      <c r="M21" s="35">
        <f t="shared" si="11"/>
        <v>117569.63</v>
      </c>
      <c r="N21" s="34">
        <v>18159.34</v>
      </c>
      <c r="O21" s="34">
        <f t="shared" si="7"/>
        <v>18159.34</v>
      </c>
      <c r="P21" s="35">
        <f t="shared" si="12"/>
        <v>490186.94000000012</v>
      </c>
      <c r="Q21" s="34"/>
      <c r="R21" s="34"/>
      <c r="S21" s="34"/>
      <c r="T21" s="35"/>
      <c r="U21" s="34"/>
      <c r="V21" s="34"/>
      <c r="W21" s="34"/>
      <c r="X21" s="35"/>
      <c r="Y21" s="34"/>
      <c r="Z21" s="34"/>
      <c r="AA21" s="34"/>
      <c r="AB21" s="34"/>
      <c r="AC21" s="34"/>
      <c r="AD21" s="34"/>
      <c r="AE21" s="39"/>
      <c r="AF21" s="39"/>
      <c r="AG21" s="39"/>
      <c r="AH21" s="39"/>
      <c r="AI21" s="39"/>
      <c r="AJ21" s="42"/>
    </row>
    <row r="22" spans="1:36" x14ac:dyDescent="0.3">
      <c r="A22" s="31" t="s">
        <v>11</v>
      </c>
      <c r="B22" s="32">
        <v>46100</v>
      </c>
      <c r="C22" s="34"/>
      <c r="D22" s="38"/>
      <c r="E22" s="34"/>
      <c r="F22" s="34"/>
      <c r="G22" s="38"/>
      <c r="H22" s="38"/>
      <c r="I22" s="34"/>
      <c r="J22" s="34"/>
      <c r="K22" s="38"/>
      <c r="L22" s="38"/>
      <c r="M22" s="38"/>
      <c r="N22" s="38"/>
      <c r="O22" s="38"/>
      <c r="P22" s="38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9"/>
      <c r="AF22" s="39"/>
      <c r="AG22" s="39"/>
      <c r="AH22" s="39"/>
      <c r="AI22" s="39"/>
      <c r="AJ22" s="42"/>
    </row>
    <row r="23" spans="1:36" x14ac:dyDescent="0.3">
      <c r="A23" s="31" t="s">
        <v>12</v>
      </c>
      <c r="B23" s="32">
        <v>46101</v>
      </c>
      <c r="C23" s="34"/>
      <c r="D23" s="38"/>
      <c r="E23" s="34"/>
      <c r="F23" s="34"/>
      <c r="G23" s="38"/>
      <c r="H23" s="38"/>
      <c r="I23" s="34"/>
      <c r="J23" s="34"/>
      <c r="K23" s="38"/>
      <c r="L23" s="38"/>
      <c r="M23" s="38"/>
      <c r="N23" s="38"/>
      <c r="O23" s="38"/>
      <c r="P23" s="38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9"/>
      <c r="AF23" s="39"/>
      <c r="AG23" s="39"/>
      <c r="AH23" s="39"/>
      <c r="AI23" s="39"/>
      <c r="AJ23" s="42"/>
    </row>
    <row r="24" spans="1:36" x14ac:dyDescent="0.3">
      <c r="A24" s="31" t="s">
        <v>13</v>
      </c>
      <c r="B24" s="32">
        <v>46102</v>
      </c>
      <c r="C24" s="34"/>
      <c r="D24" s="38"/>
      <c r="E24" s="34"/>
      <c r="F24" s="34"/>
      <c r="G24" s="38"/>
      <c r="H24" s="38"/>
      <c r="I24" s="34"/>
      <c r="J24" s="34"/>
      <c r="K24" s="38"/>
      <c r="L24" s="38"/>
      <c r="M24" s="38"/>
      <c r="N24" s="38"/>
      <c r="O24" s="38"/>
      <c r="P24" s="38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9"/>
      <c r="AF24" s="39"/>
      <c r="AG24" s="39"/>
      <c r="AH24" s="39"/>
      <c r="AI24" s="39"/>
      <c r="AJ24" s="42"/>
    </row>
    <row r="25" spans="1:36" x14ac:dyDescent="0.3">
      <c r="A25" s="31" t="s">
        <v>7</v>
      </c>
      <c r="B25" s="32">
        <v>46103</v>
      </c>
      <c r="C25" s="34"/>
      <c r="D25" s="38"/>
      <c r="E25" s="34"/>
      <c r="F25" s="34"/>
      <c r="G25" s="38"/>
      <c r="H25" s="38"/>
      <c r="I25" s="34"/>
      <c r="J25" s="34"/>
      <c r="K25" s="38"/>
      <c r="L25" s="38"/>
      <c r="M25" s="38"/>
      <c r="N25" s="38"/>
      <c r="O25" s="38"/>
      <c r="P25" s="38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9"/>
      <c r="AF25" s="39"/>
      <c r="AG25" s="39"/>
      <c r="AH25" s="39"/>
      <c r="AI25" s="39"/>
      <c r="AJ25" s="42"/>
    </row>
    <row r="26" spans="1:36" x14ac:dyDescent="0.3">
      <c r="A26" s="31" t="s">
        <v>8</v>
      </c>
      <c r="B26" s="32">
        <v>46104</v>
      </c>
      <c r="C26" s="34"/>
      <c r="D26" s="38"/>
      <c r="E26" s="34"/>
      <c r="F26" s="34"/>
      <c r="G26" s="38"/>
      <c r="H26" s="38"/>
      <c r="I26" s="34"/>
      <c r="J26" s="34"/>
      <c r="K26" s="38"/>
      <c r="L26" s="38"/>
      <c r="M26" s="38"/>
      <c r="N26" s="38"/>
      <c r="O26" s="38"/>
      <c r="P26" s="38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9"/>
      <c r="AF26" s="39"/>
      <c r="AG26" s="39"/>
      <c r="AH26" s="39"/>
      <c r="AI26" s="39"/>
      <c r="AJ26" s="42"/>
    </row>
    <row r="27" spans="1:36" x14ac:dyDescent="0.3">
      <c r="A27" s="31" t="s">
        <v>9</v>
      </c>
      <c r="B27" s="32">
        <v>46105</v>
      </c>
      <c r="C27" s="34"/>
      <c r="D27" s="38"/>
      <c r="E27" s="34"/>
      <c r="F27" s="34"/>
      <c r="G27" s="38"/>
      <c r="H27" s="38"/>
      <c r="I27" s="34"/>
      <c r="J27" s="34"/>
      <c r="K27" s="38"/>
      <c r="L27" s="38"/>
      <c r="M27" s="38"/>
      <c r="N27" s="38"/>
      <c r="O27" s="38"/>
      <c r="P27" s="38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9"/>
      <c r="AF27" s="39"/>
      <c r="AG27" s="39"/>
      <c r="AH27" s="39"/>
      <c r="AI27" s="39"/>
      <c r="AJ27" s="42"/>
    </row>
    <row r="28" spans="1:36" x14ac:dyDescent="0.3">
      <c r="A28" s="31" t="s">
        <v>10</v>
      </c>
      <c r="B28" s="32">
        <v>46106</v>
      </c>
      <c r="C28" s="34"/>
      <c r="D28" s="38"/>
      <c r="E28" s="34"/>
      <c r="F28" s="34"/>
      <c r="G28" s="38"/>
      <c r="H28" s="38"/>
      <c r="I28" s="34"/>
      <c r="J28" s="34"/>
      <c r="K28" s="38"/>
      <c r="L28" s="38"/>
      <c r="M28" s="38"/>
      <c r="N28" s="38"/>
      <c r="O28" s="38"/>
      <c r="P28" s="38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9"/>
      <c r="AF28" s="39"/>
      <c r="AG28" s="39"/>
      <c r="AH28" s="39"/>
      <c r="AI28" s="39"/>
      <c r="AJ28" s="42"/>
    </row>
    <row r="29" spans="1:36" x14ac:dyDescent="0.3">
      <c r="A29" s="31" t="s">
        <v>11</v>
      </c>
      <c r="B29" s="32">
        <v>46107</v>
      </c>
      <c r="C29" s="34"/>
      <c r="D29" s="38"/>
      <c r="E29" s="34"/>
      <c r="F29" s="34"/>
      <c r="G29" s="38"/>
      <c r="H29" s="38"/>
      <c r="I29" s="34"/>
      <c r="J29" s="34"/>
      <c r="K29" s="38"/>
      <c r="L29" s="38"/>
      <c r="M29" s="38"/>
      <c r="N29" s="38"/>
      <c r="O29" s="38"/>
      <c r="P29" s="38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9"/>
      <c r="AF29" s="39"/>
      <c r="AG29" s="39"/>
      <c r="AH29" s="39"/>
      <c r="AI29" s="39"/>
      <c r="AJ29" s="42"/>
    </row>
    <row r="30" spans="1:36" x14ac:dyDescent="0.3">
      <c r="A30" s="31" t="s">
        <v>12</v>
      </c>
      <c r="B30" s="32">
        <v>46108</v>
      </c>
      <c r="C30" s="34"/>
      <c r="D30" s="38"/>
      <c r="E30" s="34"/>
      <c r="F30" s="34"/>
      <c r="G30" s="38"/>
      <c r="H30" s="38"/>
      <c r="I30" s="34"/>
      <c r="J30" s="34"/>
      <c r="K30" s="38"/>
      <c r="L30" s="38"/>
      <c r="M30" s="38"/>
      <c r="N30" s="38"/>
      <c r="O30" s="38"/>
      <c r="P30" s="38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9"/>
      <c r="AF30" s="39"/>
      <c r="AG30" s="39"/>
      <c r="AH30" s="39"/>
      <c r="AI30" s="39"/>
      <c r="AJ30" s="42"/>
    </row>
    <row r="31" spans="1:36" x14ac:dyDescent="0.3">
      <c r="A31" s="31" t="s">
        <v>13</v>
      </c>
      <c r="B31" s="32">
        <v>46109</v>
      </c>
      <c r="C31" s="34"/>
      <c r="D31" s="38"/>
      <c r="E31" s="34"/>
      <c r="F31" s="34"/>
      <c r="G31" s="38"/>
      <c r="H31" s="38"/>
      <c r="I31" s="34"/>
      <c r="J31" s="34"/>
      <c r="K31" s="38"/>
      <c r="L31" s="38"/>
      <c r="M31" s="38"/>
      <c r="N31" s="38"/>
      <c r="O31" s="38"/>
      <c r="P31" s="38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9"/>
      <c r="AF31" s="39"/>
      <c r="AG31" s="39"/>
      <c r="AH31" s="39"/>
      <c r="AI31" s="39"/>
      <c r="AJ31" s="42"/>
    </row>
    <row r="32" spans="1:36" x14ac:dyDescent="0.3">
      <c r="A32" s="31" t="s">
        <v>7</v>
      </c>
      <c r="B32" s="32">
        <v>46110</v>
      </c>
      <c r="C32" s="34"/>
      <c r="D32" s="38"/>
      <c r="E32" s="34"/>
      <c r="F32" s="34"/>
      <c r="G32" s="38"/>
      <c r="H32" s="38"/>
      <c r="I32" s="34"/>
      <c r="J32" s="34"/>
      <c r="K32" s="38"/>
      <c r="L32" s="38"/>
      <c r="M32" s="38"/>
      <c r="N32" s="38"/>
      <c r="O32" s="38"/>
      <c r="P32" s="38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9"/>
      <c r="AF32" s="39"/>
      <c r="AG32" s="39"/>
      <c r="AH32" s="39"/>
      <c r="AI32" s="39"/>
      <c r="AJ32" s="42"/>
    </row>
    <row r="33" spans="1:36" x14ac:dyDescent="0.3">
      <c r="A33" s="31" t="s">
        <v>8</v>
      </c>
      <c r="B33" s="32">
        <v>46111</v>
      </c>
      <c r="C33" s="34"/>
      <c r="D33" s="38"/>
      <c r="E33" s="34"/>
      <c r="F33" s="34"/>
      <c r="G33" s="38"/>
      <c r="H33" s="38"/>
      <c r="I33" s="34"/>
      <c r="J33" s="34"/>
      <c r="K33" s="38"/>
      <c r="L33" s="38"/>
      <c r="M33" s="38"/>
      <c r="N33" s="38"/>
      <c r="O33" s="38"/>
      <c r="P33" s="38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9"/>
      <c r="AF33" s="39"/>
      <c r="AG33" s="39"/>
      <c r="AH33" s="39"/>
      <c r="AI33" s="39"/>
      <c r="AJ33" s="42"/>
    </row>
    <row r="34" spans="1:36" x14ac:dyDescent="0.3">
      <c r="A34" s="31" t="s">
        <v>9</v>
      </c>
      <c r="B34" s="32">
        <v>46112</v>
      </c>
      <c r="C34" s="34"/>
      <c r="D34" s="38"/>
      <c r="E34" s="34"/>
      <c r="F34" s="34"/>
      <c r="G34" s="38"/>
      <c r="H34" s="38"/>
      <c r="I34" s="34"/>
      <c r="J34" s="34"/>
      <c r="K34" s="38"/>
      <c r="L34" s="38"/>
      <c r="M34" s="38"/>
      <c r="N34" s="38"/>
      <c r="O34" s="38"/>
      <c r="P34" s="38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9"/>
      <c r="AF34" s="39"/>
      <c r="AG34" s="39"/>
      <c r="AH34" s="39"/>
      <c r="AI34" s="39"/>
      <c r="AJ34" s="42"/>
    </row>
    <row r="35" spans="1:36" x14ac:dyDescent="0.3"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</sheetData>
  <mergeCells count="17">
    <mergeCell ref="AI2:AI3"/>
    <mergeCell ref="E1:P1"/>
    <mergeCell ref="S1:AD1"/>
    <mergeCell ref="AE1:AJ1"/>
    <mergeCell ref="C2:F2"/>
    <mergeCell ref="G2:J2"/>
    <mergeCell ref="K2:M2"/>
    <mergeCell ref="N2:P2"/>
    <mergeCell ref="Q2:T2"/>
    <mergeCell ref="U2:X2"/>
    <mergeCell ref="Y2:AA2"/>
    <mergeCell ref="AJ2:AJ3"/>
    <mergeCell ref="AB2:AD2"/>
    <mergeCell ref="AE2:AE3"/>
    <mergeCell ref="AF2:AF3"/>
    <mergeCell ref="AG2:AG3"/>
    <mergeCell ref="AH2:AH3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2B221-3889-47A7-B06C-90490962161B}">
  <dimension ref="A1:AJ35"/>
  <sheetViews>
    <sheetView workbookViewId="0">
      <selection activeCell="O14" sqref="O14"/>
    </sheetView>
  </sheetViews>
  <sheetFormatPr defaultRowHeight="14.4" outlineLevelCol="1" x14ac:dyDescent="0.3"/>
  <cols>
    <col min="1" max="1" width="4.5546875" customWidth="1"/>
    <col min="2" max="2" width="5.6640625" customWidth="1"/>
    <col min="3" max="3" width="8.6640625" hidden="1" customWidth="1" outlineLevel="1"/>
    <col min="4" max="4" width="8.88671875" hidden="1" customWidth="1" outlineLevel="1"/>
    <col min="5" max="5" width="6.88671875" bestFit="1" customWidth="1" collapsed="1"/>
    <col min="6" max="6" width="7.6640625" bestFit="1" customWidth="1"/>
    <col min="7" max="7" width="8.88671875" hidden="1" customWidth="1" outlineLevel="1"/>
    <col min="8" max="8" width="10" hidden="1" customWidth="1" outlineLevel="1"/>
    <col min="9" max="9" width="7.109375" bestFit="1" customWidth="1" collapsed="1"/>
    <col min="10" max="10" width="7.6640625" bestFit="1" customWidth="1"/>
    <col min="11" max="11" width="9.21875" hidden="1" customWidth="1" outlineLevel="1"/>
    <col min="12" max="12" width="9.21875" bestFit="1" customWidth="1" collapsed="1"/>
    <col min="13" max="13" width="9.21875" bestFit="1" customWidth="1"/>
    <col min="14" max="14" width="9.109375" hidden="1" customWidth="1" outlineLevel="1"/>
    <col min="15" max="15" width="9.109375" bestFit="1" customWidth="1" collapsed="1"/>
    <col min="16" max="16" width="10" bestFit="1" customWidth="1"/>
    <col min="17" max="17" width="7.88671875" hidden="1" customWidth="1" outlineLevel="1"/>
    <col min="18" max="18" width="8.21875" hidden="1" customWidth="1" outlineLevel="1"/>
    <col min="19" max="19" width="6.88671875" bestFit="1" customWidth="1" collapsed="1"/>
    <col min="20" max="20" width="6.88671875" bestFit="1" customWidth="1"/>
    <col min="21" max="21" width="9.21875" hidden="1" customWidth="1" outlineLevel="1"/>
    <col min="22" max="22" width="10.44140625" hidden="1" customWidth="1" outlineLevel="1"/>
    <col min="23" max="23" width="8.88671875" bestFit="1" collapsed="1"/>
    <col min="24" max="24" width="7.109375" bestFit="1" customWidth="1"/>
    <col min="25" max="25" width="9.21875" hidden="1" customWidth="1" outlineLevel="1"/>
    <col min="26" max="26" width="10.44140625" customWidth="1" collapsed="1"/>
    <col min="27" max="27" width="9.21875" bestFit="1" customWidth="1"/>
    <col min="28" max="28" width="12.33203125" hidden="1" customWidth="1" outlineLevel="1"/>
    <col min="29" max="29" width="9.109375" bestFit="1" customWidth="1" collapsed="1"/>
    <col min="30" max="30" width="9.109375" bestFit="1" customWidth="1"/>
    <col min="31" max="31" width="7.88671875" bestFit="1" customWidth="1"/>
    <col min="32" max="32" width="9.109375" bestFit="1" customWidth="1"/>
    <col min="33" max="33" width="7.88671875" bestFit="1" customWidth="1"/>
    <col min="34" max="34" width="9.109375" bestFit="1" customWidth="1"/>
    <col min="35" max="35" width="10.44140625" bestFit="1" customWidth="1"/>
    <col min="36" max="36" width="12.21875" customWidth="1"/>
  </cols>
  <sheetData>
    <row r="1" spans="1:36" ht="21" x14ac:dyDescent="0.4">
      <c r="C1" s="19" t="s">
        <v>2</v>
      </c>
      <c r="D1" s="19"/>
      <c r="E1" s="63" t="s">
        <v>2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5"/>
      <c r="Q1" s="43"/>
      <c r="R1" s="43"/>
      <c r="S1" s="66" t="s">
        <v>3</v>
      </c>
      <c r="T1" s="67"/>
      <c r="U1" s="67"/>
      <c r="V1" s="67"/>
      <c r="W1" s="67"/>
      <c r="X1" s="67"/>
      <c r="Y1" s="67"/>
      <c r="Z1" s="67"/>
      <c r="AA1" s="67"/>
      <c r="AB1" s="67"/>
      <c r="AC1" s="67"/>
      <c r="AD1" s="68"/>
      <c r="AE1" s="69" t="s">
        <v>15</v>
      </c>
      <c r="AF1" s="70"/>
      <c r="AG1" s="70"/>
      <c r="AH1" s="70"/>
      <c r="AI1" s="70"/>
      <c r="AJ1" s="71"/>
    </row>
    <row r="2" spans="1:36" x14ac:dyDescent="0.3">
      <c r="C2" s="57" t="s">
        <v>17</v>
      </c>
      <c r="D2" s="57"/>
      <c r="E2" s="57"/>
      <c r="F2" s="57"/>
      <c r="G2" s="45" t="s">
        <v>18</v>
      </c>
      <c r="H2" s="45"/>
      <c r="I2" s="45"/>
      <c r="J2" s="45"/>
      <c r="K2" s="57" t="s">
        <v>27</v>
      </c>
      <c r="L2" s="57"/>
      <c r="M2" s="57"/>
      <c r="N2" s="45" t="s">
        <v>31</v>
      </c>
      <c r="O2" s="45"/>
      <c r="P2" s="45"/>
      <c r="Q2" s="57" t="s">
        <v>17</v>
      </c>
      <c r="R2" s="57"/>
      <c r="S2" s="57"/>
      <c r="T2" s="57"/>
      <c r="U2" s="45" t="s">
        <v>18</v>
      </c>
      <c r="V2" s="45"/>
      <c r="W2" s="45"/>
      <c r="X2" s="45"/>
      <c r="Y2" s="57" t="s">
        <v>27</v>
      </c>
      <c r="Z2" s="57"/>
      <c r="AA2" s="57"/>
      <c r="AB2" s="45" t="s">
        <v>31</v>
      </c>
      <c r="AC2" s="45"/>
      <c r="AD2" s="45"/>
      <c r="AE2" s="49" t="s">
        <v>0</v>
      </c>
      <c r="AF2" s="50" t="s">
        <v>39</v>
      </c>
      <c r="AG2" s="58" t="s">
        <v>1</v>
      </c>
      <c r="AH2" s="50" t="s">
        <v>40</v>
      </c>
      <c r="AI2" s="59" t="s">
        <v>15</v>
      </c>
      <c r="AJ2" s="61" t="s">
        <v>33</v>
      </c>
    </row>
    <row r="3" spans="1:36" ht="34.200000000000003" x14ac:dyDescent="0.3">
      <c r="B3" s="10" t="s">
        <v>32</v>
      </c>
      <c r="C3" s="8" t="s">
        <v>5</v>
      </c>
      <c r="D3" s="8" t="s">
        <v>6</v>
      </c>
      <c r="E3" s="16" t="s">
        <v>23</v>
      </c>
      <c r="F3" s="9" t="s">
        <v>35</v>
      </c>
      <c r="G3" s="8" t="s">
        <v>4</v>
      </c>
      <c r="H3" s="8" t="s">
        <v>14</v>
      </c>
      <c r="I3" s="16" t="s">
        <v>24</v>
      </c>
      <c r="J3" s="9" t="s">
        <v>36</v>
      </c>
      <c r="K3" s="8" t="s">
        <v>20</v>
      </c>
      <c r="L3" s="16" t="s">
        <v>28</v>
      </c>
      <c r="M3" s="9" t="s">
        <v>37</v>
      </c>
      <c r="N3" s="8" t="s">
        <v>16</v>
      </c>
      <c r="O3" s="16" t="s">
        <v>29</v>
      </c>
      <c r="P3" s="9" t="s">
        <v>38</v>
      </c>
      <c r="Q3" s="8" t="s">
        <v>5</v>
      </c>
      <c r="R3" s="8" t="s">
        <v>6</v>
      </c>
      <c r="S3" s="15" t="s">
        <v>23</v>
      </c>
      <c r="T3" s="11" t="s">
        <v>35</v>
      </c>
      <c r="U3" s="8" t="s">
        <v>4</v>
      </c>
      <c r="V3" s="8" t="s">
        <v>14</v>
      </c>
      <c r="W3" s="15" t="s">
        <v>24</v>
      </c>
      <c r="X3" s="11" t="s">
        <v>36</v>
      </c>
      <c r="Y3" s="8" t="s">
        <v>20</v>
      </c>
      <c r="Z3" s="15" t="s">
        <v>28</v>
      </c>
      <c r="AA3" s="11" t="s">
        <v>37</v>
      </c>
      <c r="AB3" s="8" t="s">
        <v>16</v>
      </c>
      <c r="AC3" s="15" t="s">
        <v>29</v>
      </c>
      <c r="AD3" s="11" t="s">
        <v>38</v>
      </c>
      <c r="AE3" s="49"/>
      <c r="AF3" s="50"/>
      <c r="AG3" s="58"/>
      <c r="AH3" s="50"/>
      <c r="AI3" s="60"/>
      <c r="AJ3" s="62"/>
    </row>
    <row r="4" spans="1:36" x14ac:dyDescent="0.3">
      <c r="A4" s="31" t="s">
        <v>7</v>
      </c>
      <c r="B4" s="32">
        <v>46082</v>
      </c>
      <c r="C4" s="33">
        <v>10905</v>
      </c>
      <c r="D4" s="34">
        <v>0</v>
      </c>
      <c r="E4" s="34">
        <f>SUM(C4:D4)</f>
        <v>10905</v>
      </c>
      <c r="F4" s="35">
        <f>E4</f>
        <v>10905</v>
      </c>
      <c r="G4" s="34">
        <v>0</v>
      </c>
      <c r="H4" s="34">
        <v>0</v>
      </c>
      <c r="I4" s="34">
        <f>SUM(G4:H4)</f>
        <v>0</v>
      </c>
      <c r="J4" s="35">
        <f>I4</f>
        <v>0</v>
      </c>
      <c r="K4" s="34">
        <v>0</v>
      </c>
      <c r="L4" s="34">
        <f>K4</f>
        <v>0</v>
      </c>
      <c r="M4" s="35">
        <f>L4</f>
        <v>0</v>
      </c>
      <c r="N4" s="34">
        <v>1270</v>
      </c>
      <c r="O4" s="34">
        <f>N4</f>
        <v>1270</v>
      </c>
      <c r="P4" s="35">
        <f>O4</f>
        <v>1270</v>
      </c>
      <c r="Q4" s="34">
        <v>0</v>
      </c>
      <c r="R4" s="34">
        <v>0</v>
      </c>
      <c r="S4" s="34">
        <f t="shared" ref="S4:S19" si="0">SUM(Q4:R4)</f>
        <v>0</v>
      </c>
      <c r="T4" s="35">
        <f>S4</f>
        <v>0</v>
      </c>
      <c r="U4" s="34">
        <v>0</v>
      </c>
      <c r="V4" s="34">
        <v>0</v>
      </c>
      <c r="W4" s="34">
        <f t="shared" ref="W4:W18" si="1">SUM(U4:V4)</f>
        <v>0</v>
      </c>
      <c r="X4" s="35">
        <f>W4</f>
        <v>0</v>
      </c>
      <c r="Y4" s="36">
        <v>0</v>
      </c>
      <c r="Z4" s="34">
        <f t="shared" ref="Z4:Z18" si="2">SUM(Y4)</f>
        <v>0</v>
      </c>
      <c r="AA4" s="35">
        <f>Z4</f>
        <v>0</v>
      </c>
      <c r="AB4" s="34">
        <v>0</v>
      </c>
      <c r="AC4" s="34">
        <f t="shared" ref="AC4:AC18" si="3">SUM(AB4)</f>
        <v>0</v>
      </c>
      <c r="AD4" s="35">
        <f>AC4</f>
        <v>0</v>
      </c>
      <c r="AE4" s="39">
        <f>E4+I4+L4+O4</f>
        <v>12175</v>
      </c>
      <c r="AF4" s="40">
        <f>AE4</f>
        <v>12175</v>
      </c>
      <c r="AG4" s="39">
        <v>0</v>
      </c>
      <c r="AH4" s="41">
        <f>AG4</f>
        <v>0</v>
      </c>
      <c r="AI4" s="39">
        <f>AG4-AE4</f>
        <v>-12175</v>
      </c>
      <c r="AJ4" s="41">
        <f>AI4</f>
        <v>-12175</v>
      </c>
    </row>
    <row r="5" spans="1:36" x14ac:dyDescent="0.3">
      <c r="A5" s="31" t="s">
        <v>8</v>
      </c>
      <c r="B5" s="32">
        <v>46083</v>
      </c>
      <c r="C5" s="34">
        <v>30973</v>
      </c>
      <c r="D5" s="34">
        <v>0</v>
      </c>
      <c r="E5" s="34">
        <f t="shared" ref="E5:E21" si="4">SUM(C5:D5)</f>
        <v>30973</v>
      </c>
      <c r="F5" s="35">
        <f>E5+F4</f>
        <v>41878</v>
      </c>
      <c r="G5" s="34">
        <v>54198.39</v>
      </c>
      <c r="H5" s="34">
        <v>1063.9000000000001</v>
      </c>
      <c r="I5" s="34">
        <f t="shared" ref="I5:I21" si="5">SUM(G5:H5)</f>
        <v>55262.29</v>
      </c>
      <c r="J5" s="35">
        <f>I5+J4</f>
        <v>55262.29</v>
      </c>
      <c r="K5" s="34">
        <v>10125.89</v>
      </c>
      <c r="L5" s="34">
        <f t="shared" ref="L5:L21" si="6">K5</f>
        <v>10125.89</v>
      </c>
      <c r="M5" s="35">
        <f>L5+M4</f>
        <v>10125.89</v>
      </c>
      <c r="N5" s="34">
        <v>85733.49</v>
      </c>
      <c r="O5" s="34">
        <f t="shared" ref="O5:O21" si="7">N5</f>
        <v>85733.49</v>
      </c>
      <c r="P5" s="35">
        <f>O5+P4</f>
        <v>87003.49</v>
      </c>
      <c r="Q5" s="34"/>
      <c r="R5" s="34"/>
      <c r="S5" s="34">
        <f t="shared" si="0"/>
        <v>0</v>
      </c>
      <c r="T5" s="35">
        <f>S5+T4</f>
        <v>0</v>
      </c>
      <c r="U5" s="34"/>
      <c r="V5" s="34"/>
      <c r="W5" s="34">
        <f t="shared" si="1"/>
        <v>0</v>
      </c>
      <c r="X5" s="35">
        <f>W5+X4</f>
        <v>0</v>
      </c>
      <c r="Y5" s="34"/>
      <c r="Z5" s="34">
        <f t="shared" si="2"/>
        <v>0</v>
      </c>
      <c r="AA5" s="35">
        <f>AA4+Z5</f>
        <v>0</v>
      </c>
      <c r="AB5" s="34"/>
      <c r="AC5" s="34">
        <f t="shared" si="3"/>
        <v>0</v>
      </c>
      <c r="AD5" s="35">
        <f>AC5+AD4</f>
        <v>0</v>
      </c>
      <c r="AE5" s="39">
        <f t="shared" ref="AE5:AE20" si="8">E5+I5+L5+O5</f>
        <v>182094.67</v>
      </c>
      <c r="AF5" s="40">
        <f>AE5+AF4</f>
        <v>194269.67</v>
      </c>
      <c r="AG5" s="39">
        <v>179722.9</v>
      </c>
      <c r="AH5" s="41">
        <f>AG5+AH4</f>
        <v>179722.9</v>
      </c>
      <c r="AI5" s="39">
        <f t="shared" ref="AI5:AI20" si="9">AG5-AE5</f>
        <v>-2371.7700000000186</v>
      </c>
      <c r="AJ5" s="41">
        <f>AI5+AJ4</f>
        <v>-14546.770000000019</v>
      </c>
    </row>
    <row r="6" spans="1:36" x14ac:dyDescent="0.3">
      <c r="A6" s="31" t="s">
        <v>9</v>
      </c>
      <c r="B6" s="32">
        <v>46084</v>
      </c>
      <c r="C6" s="34">
        <v>30381.62</v>
      </c>
      <c r="D6" s="34">
        <v>17990</v>
      </c>
      <c r="E6" s="34">
        <f t="shared" si="4"/>
        <v>48371.619999999995</v>
      </c>
      <c r="F6" s="35">
        <f t="shared" ref="F6:F21" si="10">E6+F5</f>
        <v>90249.62</v>
      </c>
      <c r="G6" s="34">
        <v>56589.09</v>
      </c>
      <c r="H6" s="34">
        <v>201.17</v>
      </c>
      <c r="I6" s="34">
        <f t="shared" si="5"/>
        <v>56790.259999999995</v>
      </c>
      <c r="J6" s="35">
        <f>I6+J5</f>
        <v>112052.54999999999</v>
      </c>
      <c r="K6" s="34">
        <v>7475.78</v>
      </c>
      <c r="L6" s="34">
        <f t="shared" si="6"/>
        <v>7475.78</v>
      </c>
      <c r="M6" s="35">
        <f t="shared" ref="M6:M21" si="11">L6+M5</f>
        <v>17601.669999999998</v>
      </c>
      <c r="N6" s="34">
        <v>29803.29</v>
      </c>
      <c r="O6" s="34">
        <f t="shared" si="7"/>
        <v>29803.29</v>
      </c>
      <c r="P6" s="35">
        <f t="shared" ref="P6:P21" si="12">O6+P5</f>
        <v>116806.78</v>
      </c>
      <c r="Q6" s="34"/>
      <c r="R6" s="34"/>
      <c r="S6" s="34">
        <f t="shared" si="0"/>
        <v>0</v>
      </c>
      <c r="T6" s="35">
        <f t="shared" ref="T6:T20" si="13">S6+T5</f>
        <v>0</v>
      </c>
      <c r="U6" s="34"/>
      <c r="V6" s="34"/>
      <c r="W6" s="34">
        <f t="shared" si="1"/>
        <v>0</v>
      </c>
      <c r="X6" s="35">
        <f t="shared" ref="X6:X20" si="14">W6+X5</f>
        <v>0</v>
      </c>
      <c r="Y6" s="34"/>
      <c r="Z6" s="34">
        <f t="shared" si="2"/>
        <v>0</v>
      </c>
      <c r="AA6" s="35">
        <f t="shared" ref="AA6:AA20" si="15">AA5+Z6</f>
        <v>0</v>
      </c>
      <c r="AB6" s="34"/>
      <c r="AC6" s="34">
        <f t="shared" si="3"/>
        <v>0</v>
      </c>
      <c r="AD6" s="35">
        <f t="shared" ref="AD6:AD20" si="16">AC6+AD5</f>
        <v>0</v>
      </c>
      <c r="AE6" s="39">
        <f t="shared" si="8"/>
        <v>142440.94999999998</v>
      </c>
      <c r="AF6" s="40">
        <f>AE6+AF5</f>
        <v>336710.62</v>
      </c>
      <c r="AG6" s="39">
        <v>89751.56</v>
      </c>
      <c r="AH6" s="41">
        <f>AG6+AH5</f>
        <v>269474.45999999996</v>
      </c>
      <c r="AI6" s="39">
        <f t="shared" si="9"/>
        <v>-52689.389999999985</v>
      </c>
      <c r="AJ6" s="41">
        <f>AI6+AJ5</f>
        <v>-67236.160000000003</v>
      </c>
    </row>
    <row r="7" spans="1:36" x14ac:dyDescent="0.3">
      <c r="A7" s="31" t="s">
        <v>10</v>
      </c>
      <c r="B7" s="32">
        <v>46085</v>
      </c>
      <c r="C7" s="34">
        <v>26375.24</v>
      </c>
      <c r="D7" s="34">
        <v>0</v>
      </c>
      <c r="E7" s="34">
        <f t="shared" si="4"/>
        <v>26375.24</v>
      </c>
      <c r="F7" s="35">
        <f t="shared" si="10"/>
        <v>116624.86</v>
      </c>
      <c r="G7" s="34">
        <v>34726</v>
      </c>
      <c r="H7" s="34">
        <v>10033.120000000001</v>
      </c>
      <c r="I7" s="34">
        <f t="shared" si="5"/>
        <v>44759.12</v>
      </c>
      <c r="J7" s="35">
        <f t="shared" ref="J7:J21" si="17">I7+J6</f>
        <v>156811.66999999998</v>
      </c>
      <c r="K7" s="34">
        <v>7858.89</v>
      </c>
      <c r="L7" s="34">
        <f t="shared" si="6"/>
        <v>7858.89</v>
      </c>
      <c r="M7" s="35">
        <f t="shared" si="11"/>
        <v>25460.559999999998</v>
      </c>
      <c r="N7" s="34">
        <v>24919.56</v>
      </c>
      <c r="O7" s="34">
        <f t="shared" si="7"/>
        <v>24919.56</v>
      </c>
      <c r="P7" s="35">
        <f t="shared" si="12"/>
        <v>141726.34</v>
      </c>
      <c r="Q7" s="34"/>
      <c r="R7" s="34"/>
      <c r="S7" s="34">
        <f t="shared" si="0"/>
        <v>0</v>
      </c>
      <c r="T7" s="35">
        <f t="shared" si="13"/>
        <v>0</v>
      </c>
      <c r="U7" s="34"/>
      <c r="V7" s="34"/>
      <c r="W7" s="34">
        <f t="shared" si="1"/>
        <v>0</v>
      </c>
      <c r="X7" s="35">
        <f t="shared" si="14"/>
        <v>0</v>
      </c>
      <c r="Y7" s="34"/>
      <c r="Z7" s="34">
        <f t="shared" si="2"/>
        <v>0</v>
      </c>
      <c r="AA7" s="35">
        <f t="shared" si="15"/>
        <v>0</v>
      </c>
      <c r="AB7" s="34"/>
      <c r="AC7" s="34">
        <f t="shared" si="3"/>
        <v>0</v>
      </c>
      <c r="AD7" s="35">
        <f t="shared" si="16"/>
        <v>0</v>
      </c>
      <c r="AE7" s="39">
        <f t="shared" si="8"/>
        <v>103912.81</v>
      </c>
      <c r="AF7" s="40">
        <f t="shared" ref="AF7:AF20" si="18">AE7+AF6</f>
        <v>440623.43</v>
      </c>
      <c r="AG7" s="39">
        <v>72873.960000000006</v>
      </c>
      <c r="AH7" s="41">
        <f t="shared" ref="AH7:AH20" si="19">AG7+AH6</f>
        <v>342348.42</v>
      </c>
      <c r="AI7" s="39">
        <f t="shared" si="9"/>
        <v>-31038.849999999991</v>
      </c>
      <c r="AJ7" s="41">
        <f>AI7+AJ6</f>
        <v>-98275.01</v>
      </c>
    </row>
    <row r="8" spans="1:36" x14ac:dyDescent="0.3">
      <c r="A8" s="31" t="s">
        <v>11</v>
      </c>
      <c r="B8" s="32">
        <v>46086</v>
      </c>
      <c r="C8" s="34">
        <v>31634.89</v>
      </c>
      <c r="D8" s="34">
        <v>0</v>
      </c>
      <c r="E8" s="34">
        <f t="shared" si="4"/>
        <v>31634.89</v>
      </c>
      <c r="F8" s="35">
        <f t="shared" si="10"/>
        <v>148259.75</v>
      </c>
      <c r="G8" s="34">
        <v>26509.39</v>
      </c>
      <c r="H8" s="34">
        <v>12330.95</v>
      </c>
      <c r="I8" s="34">
        <f t="shared" si="5"/>
        <v>38840.339999999997</v>
      </c>
      <c r="J8" s="35">
        <f t="shared" si="17"/>
        <v>195652.00999999998</v>
      </c>
      <c r="K8" s="37">
        <f>166340.67-153521.5</f>
        <v>12819.170000000013</v>
      </c>
      <c r="L8" s="34">
        <f t="shared" si="6"/>
        <v>12819.170000000013</v>
      </c>
      <c r="M8" s="35">
        <f t="shared" si="11"/>
        <v>38279.73000000001</v>
      </c>
      <c r="N8" s="34">
        <v>24250.95</v>
      </c>
      <c r="O8" s="34">
        <f t="shared" si="7"/>
        <v>24250.95</v>
      </c>
      <c r="P8" s="35">
        <f t="shared" si="12"/>
        <v>165977.29</v>
      </c>
      <c r="Q8" s="34"/>
      <c r="R8" s="34"/>
      <c r="S8" s="34">
        <f t="shared" si="0"/>
        <v>0</v>
      </c>
      <c r="T8" s="35">
        <f t="shared" si="13"/>
        <v>0</v>
      </c>
      <c r="U8" s="34"/>
      <c r="V8" s="34"/>
      <c r="W8" s="34">
        <f t="shared" si="1"/>
        <v>0</v>
      </c>
      <c r="X8" s="35">
        <f t="shared" si="14"/>
        <v>0</v>
      </c>
      <c r="Y8" s="34"/>
      <c r="Z8" s="34">
        <f t="shared" si="2"/>
        <v>0</v>
      </c>
      <c r="AA8" s="35">
        <f t="shared" si="15"/>
        <v>0</v>
      </c>
      <c r="AB8" s="34"/>
      <c r="AC8" s="34">
        <f t="shared" si="3"/>
        <v>0</v>
      </c>
      <c r="AD8" s="35">
        <f t="shared" si="16"/>
        <v>0</v>
      </c>
      <c r="AE8" s="39">
        <f t="shared" si="8"/>
        <v>107545.35</v>
      </c>
      <c r="AF8" s="40">
        <f t="shared" si="18"/>
        <v>548168.78</v>
      </c>
      <c r="AG8" s="39">
        <v>118017.9</v>
      </c>
      <c r="AH8" s="41">
        <f t="shared" si="19"/>
        <v>460366.31999999995</v>
      </c>
      <c r="AI8" s="39">
        <f t="shared" si="9"/>
        <v>10472.549999999988</v>
      </c>
      <c r="AJ8" s="41">
        <f t="shared" ref="AJ8:AJ20" si="20">AI8+AJ7</f>
        <v>-87802.46</v>
      </c>
    </row>
    <row r="9" spans="1:36" x14ac:dyDescent="0.3">
      <c r="A9" s="31" t="s">
        <v>12</v>
      </c>
      <c r="B9" s="32">
        <v>46087</v>
      </c>
      <c r="C9" s="34">
        <v>41124.39</v>
      </c>
      <c r="D9" s="34">
        <v>0</v>
      </c>
      <c r="E9" s="34">
        <f t="shared" si="4"/>
        <v>41124.39</v>
      </c>
      <c r="F9" s="35">
        <f t="shared" si="10"/>
        <v>189384.14</v>
      </c>
      <c r="G9" s="34">
        <v>30823</v>
      </c>
      <c r="H9" s="34">
        <v>212.78</v>
      </c>
      <c r="I9" s="34">
        <f t="shared" si="5"/>
        <v>31035.78</v>
      </c>
      <c r="J9" s="35">
        <f t="shared" si="17"/>
        <v>226687.78999999998</v>
      </c>
      <c r="K9" s="34">
        <v>6139.78</v>
      </c>
      <c r="L9" s="34">
        <f t="shared" si="6"/>
        <v>6139.78</v>
      </c>
      <c r="M9" s="35">
        <f t="shared" si="11"/>
        <v>44419.510000000009</v>
      </c>
      <c r="N9" s="37">
        <f>70444.9-43350.12</f>
        <v>27094.779999999992</v>
      </c>
      <c r="O9" s="34">
        <f t="shared" si="7"/>
        <v>27094.779999999992</v>
      </c>
      <c r="P9" s="35">
        <f t="shared" si="12"/>
        <v>193072.07</v>
      </c>
      <c r="Q9" s="34"/>
      <c r="R9" s="34"/>
      <c r="S9" s="34">
        <f t="shared" si="0"/>
        <v>0</v>
      </c>
      <c r="T9" s="35">
        <f t="shared" si="13"/>
        <v>0</v>
      </c>
      <c r="U9" s="34"/>
      <c r="V9" s="34"/>
      <c r="W9" s="34">
        <f t="shared" si="1"/>
        <v>0</v>
      </c>
      <c r="X9" s="35">
        <f t="shared" si="14"/>
        <v>0</v>
      </c>
      <c r="Y9" s="34"/>
      <c r="Z9" s="34">
        <f t="shared" si="2"/>
        <v>0</v>
      </c>
      <c r="AA9" s="35">
        <f t="shared" si="15"/>
        <v>0</v>
      </c>
      <c r="AB9" s="34"/>
      <c r="AC9" s="34">
        <f t="shared" si="3"/>
        <v>0</v>
      </c>
      <c r="AD9" s="35">
        <f t="shared" si="16"/>
        <v>0</v>
      </c>
      <c r="AE9" s="39">
        <f t="shared" si="8"/>
        <v>105394.72999999998</v>
      </c>
      <c r="AF9" s="40">
        <f t="shared" si="18"/>
        <v>653563.51</v>
      </c>
      <c r="AG9" s="39">
        <v>96279.26</v>
      </c>
      <c r="AH9" s="41">
        <f t="shared" si="19"/>
        <v>556645.57999999996</v>
      </c>
      <c r="AI9" s="39">
        <f t="shared" si="9"/>
        <v>-9115.4699999999866</v>
      </c>
      <c r="AJ9" s="41">
        <f t="shared" si="20"/>
        <v>-96917.93</v>
      </c>
    </row>
    <row r="10" spans="1:36" x14ac:dyDescent="0.3">
      <c r="A10" s="31" t="s">
        <v>13</v>
      </c>
      <c r="B10" s="32">
        <v>46088</v>
      </c>
      <c r="C10" s="34">
        <v>26927.89</v>
      </c>
      <c r="D10" s="34">
        <v>0</v>
      </c>
      <c r="E10" s="34">
        <f t="shared" si="4"/>
        <v>26927.89</v>
      </c>
      <c r="F10" s="35">
        <f t="shared" si="10"/>
        <v>216312.03000000003</v>
      </c>
      <c r="G10" s="34">
        <v>62281.39</v>
      </c>
      <c r="H10" s="34">
        <v>106.39</v>
      </c>
      <c r="I10" s="34">
        <f t="shared" si="5"/>
        <v>62387.78</v>
      </c>
      <c r="J10" s="35">
        <f t="shared" si="17"/>
        <v>289075.56999999995</v>
      </c>
      <c r="K10" s="34">
        <v>4375.8900000000003</v>
      </c>
      <c r="L10" s="34">
        <f t="shared" si="6"/>
        <v>4375.8900000000003</v>
      </c>
      <c r="M10" s="35">
        <f t="shared" si="11"/>
        <v>48795.400000000009</v>
      </c>
      <c r="N10" s="34">
        <v>36613.39</v>
      </c>
      <c r="O10" s="34">
        <f t="shared" si="7"/>
        <v>36613.39</v>
      </c>
      <c r="P10" s="35">
        <f t="shared" si="12"/>
        <v>229685.46000000002</v>
      </c>
      <c r="Q10" s="34">
        <v>0</v>
      </c>
      <c r="R10" s="34">
        <v>0</v>
      </c>
      <c r="S10" s="34">
        <f t="shared" si="0"/>
        <v>0</v>
      </c>
      <c r="T10" s="35">
        <f t="shared" si="13"/>
        <v>0</v>
      </c>
      <c r="U10" s="34">
        <v>0</v>
      </c>
      <c r="V10" s="34">
        <v>0</v>
      </c>
      <c r="W10" s="34">
        <f t="shared" si="1"/>
        <v>0</v>
      </c>
      <c r="X10" s="35">
        <f t="shared" si="14"/>
        <v>0</v>
      </c>
      <c r="Y10" s="34">
        <v>0</v>
      </c>
      <c r="Z10" s="34">
        <f t="shared" si="2"/>
        <v>0</v>
      </c>
      <c r="AA10" s="35">
        <f t="shared" si="15"/>
        <v>0</v>
      </c>
      <c r="AB10" s="34">
        <v>0</v>
      </c>
      <c r="AC10" s="34">
        <f t="shared" si="3"/>
        <v>0</v>
      </c>
      <c r="AD10" s="35">
        <f t="shared" si="16"/>
        <v>0</v>
      </c>
      <c r="AE10" s="39">
        <f t="shared" si="8"/>
        <v>130304.95</v>
      </c>
      <c r="AF10" s="40">
        <f t="shared" si="18"/>
        <v>783868.46</v>
      </c>
      <c r="AG10" s="39">
        <v>0</v>
      </c>
      <c r="AH10" s="41">
        <f t="shared" si="19"/>
        <v>556645.57999999996</v>
      </c>
      <c r="AI10" s="39">
        <f t="shared" si="9"/>
        <v>-130304.95</v>
      </c>
      <c r="AJ10" s="41">
        <f t="shared" si="20"/>
        <v>-227222.88</v>
      </c>
    </row>
    <row r="11" spans="1:36" x14ac:dyDescent="0.3">
      <c r="A11" s="31" t="s">
        <v>7</v>
      </c>
      <c r="B11" s="32">
        <v>46089</v>
      </c>
      <c r="C11" s="34">
        <v>7999</v>
      </c>
      <c r="D11" s="34">
        <v>0</v>
      </c>
      <c r="E11" s="34">
        <f t="shared" si="4"/>
        <v>7999</v>
      </c>
      <c r="F11" s="35">
        <f t="shared" si="10"/>
        <v>224311.03000000003</v>
      </c>
      <c r="G11" s="34">
        <v>0</v>
      </c>
      <c r="H11" s="34">
        <v>0</v>
      </c>
      <c r="I11" s="34">
        <f t="shared" si="5"/>
        <v>0</v>
      </c>
      <c r="J11" s="35">
        <f t="shared" si="17"/>
        <v>289075.56999999995</v>
      </c>
      <c r="K11" s="34">
        <v>0</v>
      </c>
      <c r="L11" s="34">
        <f t="shared" si="6"/>
        <v>0</v>
      </c>
      <c r="M11" s="35">
        <f t="shared" si="11"/>
        <v>48795.400000000009</v>
      </c>
      <c r="N11" s="34">
        <v>5946.39</v>
      </c>
      <c r="O11" s="34">
        <f t="shared" si="7"/>
        <v>5946.39</v>
      </c>
      <c r="P11" s="35">
        <f t="shared" si="12"/>
        <v>235631.85000000003</v>
      </c>
      <c r="Q11" s="34">
        <v>0</v>
      </c>
      <c r="R11" s="34">
        <v>0</v>
      </c>
      <c r="S11" s="34">
        <f t="shared" si="0"/>
        <v>0</v>
      </c>
      <c r="T11" s="35">
        <f t="shared" si="13"/>
        <v>0</v>
      </c>
      <c r="U11" s="34">
        <v>0</v>
      </c>
      <c r="V11" s="34">
        <v>0</v>
      </c>
      <c r="W11" s="34">
        <f t="shared" si="1"/>
        <v>0</v>
      </c>
      <c r="X11" s="35">
        <f t="shared" si="14"/>
        <v>0</v>
      </c>
      <c r="Y11" s="34">
        <v>0</v>
      </c>
      <c r="Z11" s="34">
        <f t="shared" si="2"/>
        <v>0</v>
      </c>
      <c r="AA11" s="35">
        <f t="shared" si="15"/>
        <v>0</v>
      </c>
      <c r="AB11" s="34">
        <v>0</v>
      </c>
      <c r="AC11" s="34">
        <f t="shared" si="3"/>
        <v>0</v>
      </c>
      <c r="AD11" s="35">
        <f t="shared" si="16"/>
        <v>0</v>
      </c>
      <c r="AE11" s="39">
        <f t="shared" si="8"/>
        <v>13945.39</v>
      </c>
      <c r="AF11" s="40">
        <f t="shared" si="18"/>
        <v>797813.85</v>
      </c>
      <c r="AG11" s="39">
        <v>0</v>
      </c>
      <c r="AH11" s="41">
        <f t="shared" si="19"/>
        <v>556645.57999999996</v>
      </c>
      <c r="AI11" s="39">
        <f t="shared" si="9"/>
        <v>-13945.39</v>
      </c>
      <c r="AJ11" s="41">
        <f t="shared" si="20"/>
        <v>-241168.27000000002</v>
      </c>
    </row>
    <row r="12" spans="1:36" x14ac:dyDescent="0.3">
      <c r="A12" s="31" t="s">
        <v>8</v>
      </c>
      <c r="B12" s="32">
        <v>46090</v>
      </c>
      <c r="C12" s="34">
        <v>21148.17</v>
      </c>
      <c r="D12" s="34">
        <v>0</v>
      </c>
      <c r="E12" s="34">
        <f t="shared" si="4"/>
        <v>21148.17</v>
      </c>
      <c r="F12" s="35">
        <f t="shared" si="10"/>
        <v>245459.20000000001</v>
      </c>
      <c r="G12" s="34">
        <v>46453</v>
      </c>
      <c r="H12" s="34">
        <v>744.73</v>
      </c>
      <c r="I12" s="34">
        <f t="shared" si="5"/>
        <v>47197.73</v>
      </c>
      <c r="J12" s="35">
        <f t="shared" si="17"/>
        <v>336273.29999999993</v>
      </c>
      <c r="K12" s="34">
        <v>10505</v>
      </c>
      <c r="L12" s="34">
        <f t="shared" si="6"/>
        <v>10505</v>
      </c>
      <c r="M12" s="35">
        <f t="shared" si="11"/>
        <v>59300.400000000009</v>
      </c>
      <c r="N12" s="34">
        <v>19601.169999999998</v>
      </c>
      <c r="O12" s="34">
        <f t="shared" si="7"/>
        <v>19601.169999999998</v>
      </c>
      <c r="P12" s="35">
        <f t="shared" si="12"/>
        <v>255233.02000000002</v>
      </c>
      <c r="Q12" s="34"/>
      <c r="R12" s="34"/>
      <c r="S12" s="34">
        <f t="shared" si="0"/>
        <v>0</v>
      </c>
      <c r="T12" s="35">
        <f t="shared" si="13"/>
        <v>0</v>
      </c>
      <c r="U12" s="34"/>
      <c r="V12" s="34"/>
      <c r="W12" s="34">
        <f t="shared" si="1"/>
        <v>0</v>
      </c>
      <c r="X12" s="35">
        <f t="shared" si="14"/>
        <v>0</v>
      </c>
      <c r="Y12" s="34"/>
      <c r="Z12" s="34">
        <f t="shared" si="2"/>
        <v>0</v>
      </c>
      <c r="AA12" s="35">
        <f t="shared" si="15"/>
        <v>0</v>
      </c>
      <c r="AB12" s="34"/>
      <c r="AC12" s="34">
        <f t="shared" si="3"/>
        <v>0</v>
      </c>
      <c r="AD12" s="35">
        <f t="shared" si="16"/>
        <v>0</v>
      </c>
      <c r="AE12" s="39">
        <f t="shared" si="8"/>
        <v>98452.069999999992</v>
      </c>
      <c r="AF12" s="40">
        <f t="shared" si="18"/>
        <v>896265.91999999993</v>
      </c>
      <c r="AG12" s="39">
        <v>165603.78</v>
      </c>
      <c r="AH12" s="41">
        <f t="shared" si="19"/>
        <v>722249.36</v>
      </c>
      <c r="AI12" s="39">
        <f t="shared" si="9"/>
        <v>67151.710000000006</v>
      </c>
      <c r="AJ12" s="41">
        <f t="shared" si="20"/>
        <v>-174016.56</v>
      </c>
    </row>
    <row r="13" spans="1:36" x14ac:dyDescent="0.3">
      <c r="A13" s="31" t="s">
        <v>9</v>
      </c>
      <c r="B13" s="32">
        <v>46091</v>
      </c>
      <c r="C13" s="34">
        <v>34271.29</v>
      </c>
      <c r="D13" s="34">
        <v>0</v>
      </c>
      <c r="E13" s="34">
        <f t="shared" si="4"/>
        <v>34271.29</v>
      </c>
      <c r="F13" s="35">
        <f t="shared" si="10"/>
        <v>279730.49</v>
      </c>
      <c r="G13" s="37">
        <f>71492.87-17000</f>
        <v>54492.869999999995</v>
      </c>
      <c r="H13" s="34">
        <v>5961.95</v>
      </c>
      <c r="I13" s="34">
        <f t="shared" si="5"/>
        <v>60454.819999999992</v>
      </c>
      <c r="J13" s="35">
        <f t="shared" si="17"/>
        <v>396728.11999999994</v>
      </c>
      <c r="K13" s="34">
        <v>9482.2800000000007</v>
      </c>
      <c r="L13" s="34">
        <f t="shared" si="6"/>
        <v>9482.2800000000007</v>
      </c>
      <c r="M13" s="35">
        <f t="shared" si="11"/>
        <v>68782.680000000008</v>
      </c>
      <c r="N13" s="34">
        <v>27712.78</v>
      </c>
      <c r="O13" s="34">
        <f t="shared" si="7"/>
        <v>27712.78</v>
      </c>
      <c r="P13" s="35">
        <f t="shared" si="12"/>
        <v>282945.80000000005</v>
      </c>
      <c r="Q13" s="34"/>
      <c r="R13" s="34"/>
      <c r="S13" s="34">
        <f t="shared" si="0"/>
        <v>0</v>
      </c>
      <c r="T13" s="35">
        <f t="shared" si="13"/>
        <v>0</v>
      </c>
      <c r="U13" s="34"/>
      <c r="V13" s="34"/>
      <c r="W13" s="34">
        <f t="shared" si="1"/>
        <v>0</v>
      </c>
      <c r="X13" s="35">
        <f t="shared" si="14"/>
        <v>0</v>
      </c>
      <c r="Y13" s="34"/>
      <c r="Z13" s="34">
        <f t="shared" si="2"/>
        <v>0</v>
      </c>
      <c r="AA13" s="35">
        <f t="shared" si="15"/>
        <v>0</v>
      </c>
      <c r="AB13" s="34"/>
      <c r="AC13" s="34">
        <f t="shared" si="3"/>
        <v>0</v>
      </c>
      <c r="AD13" s="35">
        <f t="shared" si="16"/>
        <v>0</v>
      </c>
      <c r="AE13" s="39">
        <f t="shared" si="8"/>
        <v>131921.16999999998</v>
      </c>
      <c r="AF13" s="40">
        <f t="shared" si="18"/>
        <v>1028187.0899999999</v>
      </c>
      <c r="AG13" s="39">
        <v>126688.25</v>
      </c>
      <c r="AH13" s="41">
        <f t="shared" si="19"/>
        <v>848937.61</v>
      </c>
      <c r="AI13" s="39">
        <f t="shared" si="9"/>
        <v>-5232.9199999999837</v>
      </c>
      <c r="AJ13" s="41">
        <f t="shared" si="20"/>
        <v>-179249.47999999998</v>
      </c>
    </row>
    <row r="14" spans="1:36" x14ac:dyDescent="0.3">
      <c r="A14" s="31" t="s">
        <v>10</v>
      </c>
      <c r="B14" s="32">
        <v>46092</v>
      </c>
      <c r="C14" s="34">
        <v>33376.5</v>
      </c>
      <c r="D14" s="34">
        <v>0</v>
      </c>
      <c r="E14" s="34">
        <f t="shared" si="4"/>
        <v>33376.5</v>
      </c>
      <c r="F14" s="35">
        <f t="shared" si="10"/>
        <v>313106.99</v>
      </c>
      <c r="G14" s="34">
        <v>23570.39</v>
      </c>
      <c r="H14" s="34">
        <v>11428.67</v>
      </c>
      <c r="I14" s="34">
        <f t="shared" si="5"/>
        <v>34999.06</v>
      </c>
      <c r="J14" s="35">
        <f t="shared" si="17"/>
        <v>431727.17999999993</v>
      </c>
      <c r="K14" s="34">
        <v>8377.89</v>
      </c>
      <c r="L14" s="34">
        <f t="shared" si="6"/>
        <v>8377.89</v>
      </c>
      <c r="M14" s="35">
        <f t="shared" si="11"/>
        <v>77160.570000000007</v>
      </c>
      <c r="N14" s="34">
        <v>62571.95</v>
      </c>
      <c r="O14" s="34">
        <f t="shared" si="7"/>
        <v>62571.95</v>
      </c>
      <c r="P14" s="35">
        <f t="shared" si="12"/>
        <v>345517.75000000006</v>
      </c>
      <c r="Q14" s="34"/>
      <c r="R14" s="34"/>
      <c r="S14" s="34">
        <f t="shared" si="0"/>
        <v>0</v>
      </c>
      <c r="T14" s="35">
        <f t="shared" si="13"/>
        <v>0</v>
      </c>
      <c r="U14" s="34"/>
      <c r="V14" s="34"/>
      <c r="W14" s="34">
        <f t="shared" si="1"/>
        <v>0</v>
      </c>
      <c r="X14" s="35">
        <f t="shared" si="14"/>
        <v>0</v>
      </c>
      <c r="Y14" s="34"/>
      <c r="Z14" s="34">
        <f t="shared" si="2"/>
        <v>0</v>
      </c>
      <c r="AA14" s="35">
        <f t="shared" si="15"/>
        <v>0</v>
      </c>
      <c r="AB14" s="34"/>
      <c r="AC14" s="34">
        <f t="shared" si="3"/>
        <v>0</v>
      </c>
      <c r="AD14" s="35">
        <f t="shared" si="16"/>
        <v>0</v>
      </c>
      <c r="AE14" s="39">
        <f>E14+I14+L14+O14</f>
        <v>139325.4</v>
      </c>
      <c r="AF14" s="40">
        <f t="shared" si="18"/>
        <v>1167512.4899999998</v>
      </c>
      <c r="AG14" s="39">
        <v>94669.97</v>
      </c>
      <c r="AH14" s="41">
        <f t="shared" si="19"/>
        <v>943607.58</v>
      </c>
      <c r="AI14" s="39">
        <f t="shared" si="9"/>
        <v>-44655.429999999993</v>
      </c>
      <c r="AJ14" s="41">
        <f t="shared" si="20"/>
        <v>-223904.90999999997</v>
      </c>
    </row>
    <row r="15" spans="1:36" x14ac:dyDescent="0.3">
      <c r="A15" s="31" t="s">
        <v>11</v>
      </c>
      <c r="B15" s="32">
        <v>46093</v>
      </c>
      <c r="C15" s="34">
        <v>24563</v>
      </c>
      <c r="D15" s="34">
        <v>0</v>
      </c>
      <c r="E15" s="34">
        <f t="shared" si="4"/>
        <v>24563</v>
      </c>
      <c r="F15" s="35">
        <f t="shared" si="10"/>
        <v>337669.99</v>
      </c>
      <c r="G15" s="34">
        <v>54115.39</v>
      </c>
      <c r="H15" s="34">
        <v>531.95000000000005</v>
      </c>
      <c r="I15" s="34">
        <f t="shared" si="5"/>
        <v>54647.34</v>
      </c>
      <c r="J15" s="35">
        <f t="shared" si="17"/>
        <v>486374.5199999999</v>
      </c>
      <c r="K15" s="34">
        <v>5084.8900000000003</v>
      </c>
      <c r="L15" s="34">
        <f t="shared" si="6"/>
        <v>5084.8900000000003</v>
      </c>
      <c r="M15" s="35">
        <f t="shared" si="11"/>
        <v>82245.460000000006</v>
      </c>
      <c r="N15" s="34">
        <v>25384</v>
      </c>
      <c r="O15" s="34">
        <f t="shared" si="7"/>
        <v>25384</v>
      </c>
      <c r="P15" s="35">
        <f t="shared" si="12"/>
        <v>370901.75000000006</v>
      </c>
      <c r="Q15" s="34"/>
      <c r="R15" s="34"/>
      <c r="S15" s="34">
        <f t="shared" si="0"/>
        <v>0</v>
      </c>
      <c r="T15" s="35">
        <f t="shared" si="13"/>
        <v>0</v>
      </c>
      <c r="U15" s="34"/>
      <c r="V15" s="34"/>
      <c r="W15" s="34">
        <f t="shared" si="1"/>
        <v>0</v>
      </c>
      <c r="X15" s="35">
        <f t="shared" si="14"/>
        <v>0</v>
      </c>
      <c r="Y15" s="34"/>
      <c r="Z15" s="34">
        <f t="shared" si="2"/>
        <v>0</v>
      </c>
      <c r="AA15" s="35">
        <f t="shared" si="15"/>
        <v>0</v>
      </c>
      <c r="AB15" s="34"/>
      <c r="AC15" s="34">
        <f t="shared" si="3"/>
        <v>0</v>
      </c>
      <c r="AD15" s="35">
        <f t="shared" si="16"/>
        <v>0</v>
      </c>
      <c r="AE15" s="39">
        <f t="shared" si="8"/>
        <v>109679.23</v>
      </c>
      <c r="AF15" s="40">
        <f t="shared" si="18"/>
        <v>1277191.7199999997</v>
      </c>
      <c r="AG15" s="39">
        <v>85144.89</v>
      </c>
      <c r="AH15" s="41">
        <f t="shared" si="19"/>
        <v>1028752.47</v>
      </c>
      <c r="AI15" s="39">
        <f t="shared" si="9"/>
        <v>-24534.339999999997</v>
      </c>
      <c r="AJ15" s="41">
        <f t="shared" si="20"/>
        <v>-248439.24999999997</v>
      </c>
    </row>
    <row r="16" spans="1:36" x14ac:dyDescent="0.3">
      <c r="A16" s="31" t="s">
        <v>12</v>
      </c>
      <c r="B16" s="32">
        <v>46094</v>
      </c>
      <c r="C16" s="34">
        <v>24570.89</v>
      </c>
      <c r="D16" s="34">
        <v>0</v>
      </c>
      <c r="E16" s="34">
        <f t="shared" si="4"/>
        <v>24570.89</v>
      </c>
      <c r="F16" s="35">
        <f t="shared" si="10"/>
        <v>362240.88</v>
      </c>
      <c r="G16" s="34">
        <v>59304.89</v>
      </c>
      <c r="H16" s="34">
        <v>0</v>
      </c>
      <c r="I16" s="34">
        <f t="shared" si="5"/>
        <v>59304.89</v>
      </c>
      <c r="J16" s="35">
        <f t="shared" si="17"/>
        <v>545679.40999999992</v>
      </c>
      <c r="K16" s="34">
        <v>8262.7800000000007</v>
      </c>
      <c r="L16" s="34">
        <f t="shared" si="6"/>
        <v>8262.7800000000007</v>
      </c>
      <c r="M16" s="35">
        <f t="shared" si="11"/>
        <v>90508.24</v>
      </c>
      <c r="N16" s="34">
        <v>26408.560000000001</v>
      </c>
      <c r="O16" s="34">
        <f t="shared" si="7"/>
        <v>26408.560000000001</v>
      </c>
      <c r="P16" s="35">
        <f t="shared" si="12"/>
        <v>397310.31000000006</v>
      </c>
      <c r="Q16" s="34"/>
      <c r="R16" s="34"/>
      <c r="S16" s="34">
        <f t="shared" si="0"/>
        <v>0</v>
      </c>
      <c r="T16" s="35">
        <f t="shared" si="13"/>
        <v>0</v>
      </c>
      <c r="U16" s="34"/>
      <c r="V16" s="34"/>
      <c r="W16" s="34">
        <f t="shared" si="1"/>
        <v>0</v>
      </c>
      <c r="X16" s="35">
        <f t="shared" si="14"/>
        <v>0</v>
      </c>
      <c r="Y16" s="34"/>
      <c r="Z16" s="34">
        <f t="shared" si="2"/>
        <v>0</v>
      </c>
      <c r="AA16" s="35">
        <f t="shared" si="15"/>
        <v>0</v>
      </c>
      <c r="AB16" s="34"/>
      <c r="AC16" s="34">
        <f t="shared" si="3"/>
        <v>0</v>
      </c>
      <c r="AD16" s="35">
        <f t="shared" si="16"/>
        <v>0</v>
      </c>
      <c r="AE16" s="39">
        <f t="shared" si="8"/>
        <v>118547.12</v>
      </c>
      <c r="AF16" s="40">
        <f t="shared" si="18"/>
        <v>1395738.8399999999</v>
      </c>
      <c r="AG16" s="39">
        <v>94452.55</v>
      </c>
      <c r="AH16" s="41">
        <f t="shared" si="19"/>
        <v>1123205.02</v>
      </c>
      <c r="AI16" s="39">
        <f t="shared" si="9"/>
        <v>-24094.569999999992</v>
      </c>
      <c r="AJ16" s="41">
        <f t="shared" si="20"/>
        <v>-272533.81999999995</v>
      </c>
    </row>
    <row r="17" spans="1:36" x14ac:dyDescent="0.3">
      <c r="A17" s="31" t="s">
        <v>13</v>
      </c>
      <c r="B17" s="32">
        <v>46095</v>
      </c>
      <c r="C17" s="34">
        <v>14308.89</v>
      </c>
      <c r="D17" s="34">
        <v>0</v>
      </c>
      <c r="E17" s="34">
        <f t="shared" si="4"/>
        <v>14308.89</v>
      </c>
      <c r="F17" s="35">
        <f t="shared" si="10"/>
        <v>376549.77</v>
      </c>
      <c r="G17" s="34">
        <v>51980</v>
      </c>
      <c r="H17" s="34">
        <v>0</v>
      </c>
      <c r="I17" s="34">
        <f t="shared" si="5"/>
        <v>51980</v>
      </c>
      <c r="J17" s="35">
        <f t="shared" si="17"/>
        <v>597659.40999999992</v>
      </c>
      <c r="K17" s="34">
        <v>6220.5</v>
      </c>
      <c r="L17" s="34">
        <f t="shared" si="6"/>
        <v>6220.5</v>
      </c>
      <c r="M17" s="35">
        <f t="shared" si="11"/>
        <v>96728.74</v>
      </c>
      <c r="N17" s="34">
        <v>23334.39</v>
      </c>
      <c r="O17" s="34">
        <f t="shared" si="7"/>
        <v>23334.39</v>
      </c>
      <c r="P17" s="35">
        <f t="shared" si="12"/>
        <v>420644.70000000007</v>
      </c>
      <c r="Q17" s="34">
        <v>0</v>
      </c>
      <c r="R17" s="34">
        <v>0</v>
      </c>
      <c r="S17" s="34">
        <f t="shared" si="0"/>
        <v>0</v>
      </c>
      <c r="T17" s="35">
        <f t="shared" si="13"/>
        <v>0</v>
      </c>
      <c r="U17" s="34"/>
      <c r="V17" s="34"/>
      <c r="W17" s="34">
        <f t="shared" si="1"/>
        <v>0</v>
      </c>
      <c r="X17" s="35">
        <f t="shared" si="14"/>
        <v>0</v>
      </c>
      <c r="Y17" s="34">
        <v>0</v>
      </c>
      <c r="Z17" s="34">
        <f t="shared" si="2"/>
        <v>0</v>
      </c>
      <c r="AA17" s="35">
        <f t="shared" si="15"/>
        <v>0</v>
      </c>
      <c r="AB17" s="34">
        <v>0</v>
      </c>
      <c r="AC17" s="34">
        <f t="shared" si="3"/>
        <v>0</v>
      </c>
      <c r="AD17" s="35">
        <f t="shared" si="16"/>
        <v>0</v>
      </c>
      <c r="AE17" s="39">
        <f t="shared" si="8"/>
        <v>95843.78</v>
      </c>
      <c r="AF17" s="40">
        <f t="shared" si="18"/>
        <v>1491582.6199999999</v>
      </c>
      <c r="AG17" s="39">
        <v>0</v>
      </c>
      <c r="AH17" s="41">
        <f t="shared" si="19"/>
        <v>1123205.02</v>
      </c>
      <c r="AI17" s="39">
        <f t="shared" si="9"/>
        <v>-95843.78</v>
      </c>
      <c r="AJ17" s="41">
        <f t="shared" si="20"/>
        <v>-368377.59999999998</v>
      </c>
    </row>
    <row r="18" spans="1:36" x14ac:dyDescent="0.3">
      <c r="A18" s="31" t="s">
        <v>7</v>
      </c>
      <c r="B18" s="32">
        <v>46096</v>
      </c>
      <c r="C18" s="34">
        <v>8123</v>
      </c>
      <c r="D18" s="34">
        <v>0</v>
      </c>
      <c r="E18" s="34">
        <f t="shared" si="4"/>
        <v>8123</v>
      </c>
      <c r="F18" s="35">
        <f t="shared" si="10"/>
        <v>384672.77</v>
      </c>
      <c r="G18" s="34">
        <v>0</v>
      </c>
      <c r="H18" s="34">
        <v>0</v>
      </c>
      <c r="I18" s="34">
        <f t="shared" si="5"/>
        <v>0</v>
      </c>
      <c r="J18" s="35">
        <f t="shared" si="17"/>
        <v>597659.40999999992</v>
      </c>
      <c r="K18" s="34">
        <v>0</v>
      </c>
      <c r="L18" s="34">
        <f t="shared" si="6"/>
        <v>0</v>
      </c>
      <c r="M18" s="35">
        <f t="shared" si="11"/>
        <v>96728.74</v>
      </c>
      <c r="N18" s="34">
        <v>1376.39</v>
      </c>
      <c r="O18" s="34">
        <f t="shared" si="7"/>
        <v>1376.39</v>
      </c>
      <c r="P18" s="35">
        <f t="shared" si="12"/>
        <v>422021.09000000008</v>
      </c>
      <c r="Q18" s="34"/>
      <c r="R18" s="34"/>
      <c r="S18" s="34">
        <f t="shared" si="0"/>
        <v>0</v>
      </c>
      <c r="T18" s="35">
        <f t="shared" si="13"/>
        <v>0</v>
      </c>
      <c r="U18" s="34"/>
      <c r="V18" s="34"/>
      <c r="W18" s="34">
        <f t="shared" si="1"/>
        <v>0</v>
      </c>
      <c r="X18" s="35">
        <f t="shared" si="14"/>
        <v>0</v>
      </c>
      <c r="Y18" s="34">
        <v>0</v>
      </c>
      <c r="Z18" s="34">
        <f t="shared" si="2"/>
        <v>0</v>
      </c>
      <c r="AA18" s="35">
        <f t="shared" si="15"/>
        <v>0</v>
      </c>
      <c r="AB18" s="34">
        <v>0</v>
      </c>
      <c r="AC18" s="34">
        <f t="shared" si="3"/>
        <v>0</v>
      </c>
      <c r="AD18" s="35">
        <f t="shared" si="16"/>
        <v>0</v>
      </c>
      <c r="AE18" s="39">
        <f t="shared" si="8"/>
        <v>9499.39</v>
      </c>
      <c r="AF18" s="40">
        <f t="shared" si="18"/>
        <v>1501082.0099999998</v>
      </c>
      <c r="AG18" s="39">
        <v>0</v>
      </c>
      <c r="AH18" s="41">
        <f t="shared" si="19"/>
        <v>1123205.02</v>
      </c>
      <c r="AI18" s="39">
        <f t="shared" si="9"/>
        <v>-9499.39</v>
      </c>
      <c r="AJ18" s="41">
        <f t="shared" si="20"/>
        <v>-377876.99</v>
      </c>
    </row>
    <row r="19" spans="1:36" x14ac:dyDescent="0.3">
      <c r="A19" s="31" t="s">
        <v>8</v>
      </c>
      <c r="B19" s="32">
        <v>46097</v>
      </c>
      <c r="C19" s="34">
        <v>12701</v>
      </c>
      <c r="D19" s="34">
        <v>22296.75</v>
      </c>
      <c r="E19" s="34">
        <f t="shared" si="4"/>
        <v>34997.75</v>
      </c>
      <c r="F19" s="35">
        <f t="shared" si="10"/>
        <v>419670.52</v>
      </c>
      <c r="G19" s="34">
        <v>41431.5</v>
      </c>
      <c r="H19" s="38">
        <v>638.34</v>
      </c>
      <c r="I19" s="34">
        <f t="shared" si="5"/>
        <v>42069.84</v>
      </c>
      <c r="J19" s="35">
        <f t="shared" si="17"/>
        <v>639729.24999999988</v>
      </c>
      <c r="K19" s="34">
        <v>14548</v>
      </c>
      <c r="L19" s="34">
        <f t="shared" si="6"/>
        <v>14548</v>
      </c>
      <c r="M19" s="35">
        <f t="shared" si="11"/>
        <v>111276.74</v>
      </c>
      <c r="N19" s="34">
        <v>28297.56</v>
      </c>
      <c r="O19" s="34">
        <f t="shared" si="7"/>
        <v>28297.56</v>
      </c>
      <c r="P19" s="35">
        <f t="shared" si="12"/>
        <v>450318.65000000008</v>
      </c>
      <c r="Q19" s="34">
        <f>15472.2+37025.05</f>
        <v>52497.25</v>
      </c>
      <c r="R19" s="34">
        <v>7319.11</v>
      </c>
      <c r="S19" s="34">
        <f t="shared" si="0"/>
        <v>59816.36</v>
      </c>
      <c r="T19" s="35">
        <f t="shared" si="13"/>
        <v>59816.36</v>
      </c>
      <c r="U19" s="34">
        <f>24549.27+21935.5+636</f>
        <v>47120.770000000004</v>
      </c>
      <c r="V19" s="34">
        <f>851.12+7500</f>
        <v>8351.1200000000008</v>
      </c>
      <c r="W19" s="34">
        <f>SUM(U19:V19)</f>
        <v>55471.890000000007</v>
      </c>
      <c r="X19" s="35">
        <f t="shared" si="14"/>
        <v>55471.890000000007</v>
      </c>
      <c r="Y19" s="34">
        <v>18412.240000000002</v>
      </c>
      <c r="Z19" s="34">
        <f>SUM(Y19)</f>
        <v>18412.240000000002</v>
      </c>
      <c r="AA19" s="35">
        <f t="shared" si="15"/>
        <v>18412.240000000002</v>
      </c>
      <c r="AB19" s="34">
        <v>44982.27</v>
      </c>
      <c r="AC19" s="34">
        <f>SUM(AB19)</f>
        <v>44982.27</v>
      </c>
      <c r="AD19" s="35">
        <f t="shared" si="16"/>
        <v>44982.27</v>
      </c>
      <c r="AE19" s="39">
        <f t="shared" si="8"/>
        <v>119913.15</v>
      </c>
      <c r="AF19" s="40">
        <f t="shared" si="18"/>
        <v>1620995.1599999997</v>
      </c>
      <c r="AG19" s="39">
        <f>S19+W19+Z19+AC19</f>
        <v>178682.75999999998</v>
      </c>
      <c r="AH19" s="41">
        <f t="shared" si="19"/>
        <v>1301887.78</v>
      </c>
      <c r="AI19" s="39">
        <f t="shared" si="9"/>
        <v>58769.609999999986</v>
      </c>
      <c r="AJ19" s="41">
        <f t="shared" si="20"/>
        <v>-319107.38</v>
      </c>
    </row>
    <row r="20" spans="1:36" x14ac:dyDescent="0.3">
      <c r="A20" s="31" t="s">
        <v>9</v>
      </c>
      <c r="B20" s="32">
        <v>46098</v>
      </c>
      <c r="C20" s="34">
        <v>25373.5</v>
      </c>
      <c r="D20" s="34">
        <v>8377.57</v>
      </c>
      <c r="E20" s="34">
        <f t="shared" si="4"/>
        <v>33751.07</v>
      </c>
      <c r="F20" s="35">
        <f t="shared" si="10"/>
        <v>453421.59</v>
      </c>
      <c r="G20" s="34">
        <v>57342.71</v>
      </c>
      <c r="H20" s="34">
        <v>8402.33</v>
      </c>
      <c r="I20" s="34">
        <f t="shared" si="5"/>
        <v>65745.039999999994</v>
      </c>
      <c r="J20" s="35">
        <f t="shared" si="17"/>
        <v>705474.28999999992</v>
      </c>
      <c r="K20" s="34">
        <v>6292.89</v>
      </c>
      <c r="L20" s="34">
        <f t="shared" si="6"/>
        <v>6292.89</v>
      </c>
      <c r="M20" s="35">
        <f t="shared" si="11"/>
        <v>117569.63</v>
      </c>
      <c r="N20" s="34">
        <v>21708.95</v>
      </c>
      <c r="O20" s="34">
        <f t="shared" si="7"/>
        <v>21708.95</v>
      </c>
      <c r="P20" s="35">
        <f t="shared" si="12"/>
        <v>472027.60000000009</v>
      </c>
      <c r="Q20" s="34">
        <f>5017.51+27553.09</f>
        <v>32570.6</v>
      </c>
      <c r="R20" s="34">
        <v>2159.64</v>
      </c>
      <c r="S20" s="34">
        <f>SUM(Q20:R20)</f>
        <v>34730.239999999998</v>
      </c>
      <c r="T20" s="35">
        <f t="shared" si="13"/>
        <v>94546.6</v>
      </c>
      <c r="U20" s="34">
        <f>7485.54+15744</f>
        <v>23229.54</v>
      </c>
      <c r="V20" s="34">
        <v>425.56</v>
      </c>
      <c r="W20" s="34">
        <f>SUM(U20:V20)</f>
        <v>23655.100000000002</v>
      </c>
      <c r="X20" s="35">
        <f t="shared" si="14"/>
        <v>79126.990000000005</v>
      </c>
      <c r="Y20" s="34">
        <v>8972.0300000000007</v>
      </c>
      <c r="Z20" s="34">
        <f>SUM(Y20)</f>
        <v>8972.0300000000007</v>
      </c>
      <c r="AA20" s="35">
        <f t="shared" si="15"/>
        <v>27384.270000000004</v>
      </c>
      <c r="AB20" s="34">
        <v>45808.58</v>
      </c>
      <c r="AC20" s="34">
        <f>SUM(AB20)</f>
        <v>45808.58</v>
      </c>
      <c r="AD20" s="35">
        <f t="shared" si="16"/>
        <v>90790.85</v>
      </c>
      <c r="AE20" s="39">
        <f t="shared" si="8"/>
        <v>127497.94999999998</v>
      </c>
      <c r="AF20" s="40">
        <f t="shared" si="18"/>
        <v>1748493.1099999996</v>
      </c>
      <c r="AG20" s="39">
        <f>S20+W20+Z20+AC20</f>
        <v>113165.95</v>
      </c>
      <c r="AH20" s="41">
        <f t="shared" si="19"/>
        <v>1415053.73</v>
      </c>
      <c r="AI20" s="39">
        <f t="shared" si="9"/>
        <v>-14331.999999999985</v>
      </c>
      <c r="AJ20" s="41">
        <f t="shared" si="20"/>
        <v>-333439.38</v>
      </c>
    </row>
    <row r="21" spans="1:36" x14ac:dyDescent="0.3">
      <c r="A21" s="31" t="s">
        <v>10</v>
      </c>
      <c r="B21" s="32">
        <v>46099</v>
      </c>
      <c r="C21" s="34">
        <v>24587.58</v>
      </c>
      <c r="D21" s="38"/>
      <c r="E21" s="34">
        <f t="shared" si="4"/>
        <v>24587.58</v>
      </c>
      <c r="F21" s="35">
        <f t="shared" si="10"/>
        <v>478009.17000000004</v>
      </c>
      <c r="G21" s="34">
        <v>23279.78</v>
      </c>
      <c r="H21" s="34">
        <v>7577.78</v>
      </c>
      <c r="I21" s="34">
        <f t="shared" si="5"/>
        <v>30857.559999999998</v>
      </c>
      <c r="J21" s="35">
        <f t="shared" si="17"/>
        <v>736331.84999999986</v>
      </c>
      <c r="K21" s="38"/>
      <c r="L21" s="34">
        <f t="shared" si="6"/>
        <v>0</v>
      </c>
      <c r="M21" s="35">
        <f t="shared" si="11"/>
        <v>117569.63</v>
      </c>
      <c r="N21" s="34">
        <v>18159.34</v>
      </c>
      <c r="O21" s="34">
        <f t="shared" si="7"/>
        <v>18159.34</v>
      </c>
      <c r="P21" s="35">
        <f t="shared" si="12"/>
        <v>490186.94000000012</v>
      </c>
      <c r="Q21" s="34"/>
      <c r="R21" s="34"/>
      <c r="S21" s="34"/>
      <c r="T21" s="35"/>
      <c r="U21" s="34"/>
      <c r="V21" s="34"/>
      <c r="W21" s="34"/>
      <c r="X21" s="35"/>
      <c r="Y21" s="34"/>
      <c r="Z21" s="34"/>
      <c r="AA21" s="34"/>
      <c r="AB21" s="34"/>
      <c r="AC21" s="34"/>
      <c r="AD21" s="34"/>
      <c r="AE21" s="39"/>
      <c r="AF21" s="39"/>
      <c r="AG21" s="39"/>
      <c r="AH21" s="39"/>
      <c r="AI21" s="39"/>
      <c r="AJ21" s="42"/>
    </row>
    <row r="22" spans="1:36" x14ac:dyDescent="0.3">
      <c r="A22" s="31" t="s">
        <v>11</v>
      </c>
      <c r="B22" s="32">
        <v>46100</v>
      </c>
      <c r="C22" s="34"/>
      <c r="D22" s="38"/>
      <c r="E22" s="34"/>
      <c r="F22" s="34"/>
      <c r="G22" s="38"/>
      <c r="H22" s="38"/>
      <c r="I22" s="34"/>
      <c r="J22" s="34"/>
      <c r="K22" s="38"/>
      <c r="L22" s="38"/>
      <c r="M22" s="38"/>
      <c r="N22" s="38"/>
      <c r="O22" s="38"/>
      <c r="P22" s="38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9"/>
      <c r="AF22" s="39"/>
      <c r="AG22" s="39"/>
      <c r="AH22" s="39"/>
      <c r="AI22" s="39"/>
      <c r="AJ22" s="42"/>
    </row>
    <row r="23" spans="1:36" x14ac:dyDescent="0.3">
      <c r="A23" s="31" t="s">
        <v>12</v>
      </c>
      <c r="B23" s="32">
        <v>46101</v>
      </c>
      <c r="C23" s="34"/>
      <c r="D23" s="38"/>
      <c r="E23" s="34"/>
      <c r="F23" s="34"/>
      <c r="G23" s="38"/>
      <c r="H23" s="38"/>
      <c r="I23" s="34"/>
      <c r="J23" s="34"/>
      <c r="K23" s="38"/>
      <c r="L23" s="38"/>
      <c r="M23" s="38"/>
      <c r="N23" s="38"/>
      <c r="O23" s="38"/>
      <c r="P23" s="38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9"/>
      <c r="AF23" s="39"/>
      <c r="AG23" s="39"/>
      <c r="AH23" s="39"/>
      <c r="AI23" s="39"/>
      <c r="AJ23" s="42"/>
    </row>
    <row r="24" spans="1:36" x14ac:dyDescent="0.3">
      <c r="A24" s="31" t="s">
        <v>13</v>
      </c>
      <c r="B24" s="32">
        <v>46102</v>
      </c>
      <c r="C24" s="34"/>
      <c r="D24" s="38"/>
      <c r="E24" s="34"/>
      <c r="F24" s="34"/>
      <c r="G24" s="38"/>
      <c r="H24" s="38"/>
      <c r="I24" s="34"/>
      <c r="J24" s="34"/>
      <c r="K24" s="38"/>
      <c r="L24" s="38"/>
      <c r="M24" s="38"/>
      <c r="N24" s="38"/>
      <c r="O24" s="38"/>
      <c r="P24" s="38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9"/>
      <c r="AF24" s="39"/>
      <c r="AG24" s="39"/>
      <c r="AH24" s="39"/>
      <c r="AI24" s="39"/>
      <c r="AJ24" s="42"/>
    </row>
    <row r="25" spans="1:36" x14ac:dyDescent="0.3">
      <c r="A25" s="31" t="s">
        <v>7</v>
      </c>
      <c r="B25" s="32">
        <v>46103</v>
      </c>
      <c r="C25" s="34"/>
      <c r="D25" s="38"/>
      <c r="E25" s="34"/>
      <c r="F25" s="34"/>
      <c r="G25" s="38"/>
      <c r="H25" s="38"/>
      <c r="I25" s="34"/>
      <c r="J25" s="34"/>
      <c r="K25" s="38"/>
      <c r="L25" s="38"/>
      <c r="M25" s="38"/>
      <c r="N25" s="38"/>
      <c r="O25" s="38"/>
      <c r="P25" s="38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9"/>
      <c r="AF25" s="39"/>
      <c r="AG25" s="39"/>
      <c r="AH25" s="39"/>
      <c r="AI25" s="39"/>
      <c r="AJ25" s="42"/>
    </row>
    <row r="26" spans="1:36" x14ac:dyDescent="0.3">
      <c r="A26" s="31" t="s">
        <v>8</v>
      </c>
      <c r="B26" s="32">
        <v>46104</v>
      </c>
      <c r="C26" s="34"/>
      <c r="D26" s="38"/>
      <c r="E26" s="34"/>
      <c r="F26" s="34"/>
      <c r="G26" s="38"/>
      <c r="H26" s="38"/>
      <c r="I26" s="34"/>
      <c r="J26" s="34"/>
      <c r="K26" s="38"/>
      <c r="L26" s="38"/>
      <c r="M26" s="38"/>
      <c r="N26" s="38"/>
      <c r="O26" s="38"/>
      <c r="P26" s="38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9"/>
      <c r="AF26" s="39"/>
      <c r="AG26" s="39"/>
      <c r="AH26" s="39"/>
      <c r="AI26" s="39"/>
      <c r="AJ26" s="42"/>
    </row>
    <row r="27" spans="1:36" x14ac:dyDescent="0.3">
      <c r="A27" s="31" t="s">
        <v>9</v>
      </c>
      <c r="B27" s="32">
        <v>46105</v>
      </c>
      <c r="C27" s="34"/>
      <c r="D27" s="38"/>
      <c r="E27" s="34"/>
      <c r="F27" s="34"/>
      <c r="G27" s="38"/>
      <c r="H27" s="38"/>
      <c r="I27" s="34"/>
      <c r="J27" s="34"/>
      <c r="K27" s="38"/>
      <c r="L27" s="38"/>
      <c r="M27" s="38"/>
      <c r="N27" s="38"/>
      <c r="O27" s="38"/>
      <c r="P27" s="38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9"/>
      <c r="AF27" s="39"/>
      <c r="AG27" s="39"/>
      <c r="AH27" s="39"/>
      <c r="AI27" s="39"/>
      <c r="AJ27" s="42"/>
    </row>
    <row r="28" spans="1:36" x14ac:dyDescent="0.3">
      <c r="A28" s="31" t="s">
        <v>10</v>
      </c>
      <c r="B28" s="32">
        <v>46106</v>
      </c>
      <c r="C28" s="34"/>
      <c r="D28" s="38"/>
      <c r="E28" s="34"/>
      <c r="F28" s="34"/>
      <c r="G28" s="38"/>
      <c r="H28" s="38"/>
      <c r="I28" s="34"/>
      <c r="J28" s="34"/>
      <c r="K28" s="38"/>
      <c r="L28" s="38"/>
      <c r="M28" s="38"/>
      <c r="N28" s="38"/>
      <c r="O28" s="38"/>
      <c r="P28" s="38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9"/>
      <c r="AF28" s="39"/>
      <c r="AG28" s="39"/>
      <c r="AH28" s="39"/>
      <c r="AI28" s="39"/>
      <c r="AJ28" s="42"/>
    </row>
    <row r="29" spans="1:36" x14ac:dyDescent="0.3">
      <c r="A29" s="31" t="s">
        <v>11</v>
      </c>
      <c r="B29" s="32">
        <v>46107</v>
      </c>
      <c r="C29" s="34"/>
      <c r="D29" s="38"/>
      <c r="E29" s="34"/>
      <c r="F29" s="34"/>
      <c r="G29" s="38"/>
      <c r="H29" s="38"/>
      <c r="I29" s="34"/>
      <c r="J29" s="34"/>
      <c r="K29" s="38"/>
      <c r="L29" s="38"/>
      <c r="M29" s="38"/>
      <c r="N29" s="38"/>
      <c r="O29" s="38"/>
      <c r="P29" s="38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9"/>
      <c r="AF29" s="39"/>
      <c r="AG29" s="39"/>
      <c r="AH29" s="39"/>
      <c r="AI29" s="39"/>
      <c r="AJ29" s="42"/>
    </row>
    <row r="30" spans="1:36" x14ac:dyDescent="0.3">
      <c r="A30" s="31" t="s">
        <v>12</v>
      </c>
      <c r="B30" s="32">
        <v>46108</v>
      </c>
      <c r="C30" s="34"/>
      <c r="D30" s="38"/>
      <c r="E30" s="34"/>
      <c r="F30" s="34"/>
      <c r="G30" s="38"/>
      <c r="H30" s="38"/>
      <c r="I30" s="34"/>
      <c r="J30" s="34"/>
      <c r="K30" s="38"/>
      <c r="L30" s="38"/>
      <c r="M30" s="38"/>
      <c r="N30" s="38"/>
      <c r="O30" s="38"/>
      <c r="P30" s="38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9"/>
      <c r="AF30" s="39"/>
      <c r="AG30" s="39"/>
      <c r="AH30" s="39"/>
      <c r="AI30" s="39"/>
      <c r="AJ30" s="42"/>
    </row>
    <row r="31" spans="1:36" x14ac:dyDescent="0.3">
      <c r="A31" s="31" t="s">
        <v>13</v>
      </c>
      <c r="B31" s="32">
        <v>46109</v>
      </c>
      <c r="C31" s="34"/>
      <c r="D31" s="38"/>
      <c r="E31" s="34"/>
      <c r="F31" s="34"/>
      <c r="G31" s="38"/>
      <c r="H31" s="38"/>
      <c r="I31" s="34"/>
      <c r="J31" s="34"/>
      <c r="K31" s="38"/>
      <c r="L31" s="38"/>
      <c r="M31" s="38"/>
      <c r="N31" s="38"/>
      <c r="O31" s="38"/>
      <c r="P31" s="38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9"/>
      <c r="AF31" s="39"/>
      <c r="AG31" s="39"/>
      <c r="AH31" s="39"/>
      <c r="AI31" s="39"/>
      <c r="AJ31" s="42"/>
    </row>
    <row r="32" spans="1:36" x14ac:dyDescent="0.3">
      <c r="A32" s="31" t="s">
        <v>7</v>
      </c>
      <c r="B32" s="32">
        <v>46110</v>
      </c>
      <c r="C32" s="34"/>
      <c r="D32" s="38"/>
      <c r="E32" s="34"/>
      <c r="F32" s="34"/>
      <c r="G32" s="38"/>
      <c r="H32" s="38"/>
      <c r="I32" s="34"/>
      <c r="J32" s="34"/>
      <c r="K32" s="38"/>
      <c r="L32" s="38"/>
      <c r="M32" s="38"/>
      <c r="N32" s="38"/>
      <c r="O32" s="38"/>
      <c r="P32" s="38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9"/>
      <c r="AF32" s="39"/>
      <c r="AG32" s="39"/>
      <c r="AH32" s="39"/>
      <c r="AI32" s="39"/>
      <c r="AJ32" s="42"/>
    </row>
    <row r="33" spans="1:36" x14ac:dyDescent="0.3">
      <c r="A33" s="31" t="s">
        <v>8</v>
      </c>
      <c r="B33" s="32">
        <v>46111</v>
      </c>
      <c r="C33" s="34"/>
      <c r="D33" s="38"/>
      <c r="E33" s="34"/>
      <c r="F33" s="34"/>
      <c r="G33" s="38"/>
      <c r="H33" s="38"/>
      <c r="I33" s="34"/>
      <c r="J33" s="34"/>
      <c r="K33" s="38"/>
      <c r="L33" s="38"/>
      <c r="M33" s="38"/>
      <c r="N33" s="38"/>
      <c r="O33" s="38"/>
      <c r="P33" s="38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9"/>
      <c r="AF33" s="39"/>
      <c r="AG33" s="39"/>
      <c r="AH33" s="39"/>
      <c r="AI33" s="39"/>
      <c r="AJ33" s="42"/>
    </row>
    <row r="34" spans="1:36" x14ac:dyDescent="0.3">
      <c r="A34" s="31" t="s">
        <v>9</v>
      </c>
      <c r="B34" s="32">
        <v>46112</v>
      </c>
      <c r="C34" s="34"/>
      <c r="D34" s="38"/>
      <c r="E34" s="34"/>
      <c r="F34" s="34"/>
      <c r="G34" s="38"/>
      <c r="H34" s="38"/>
      <c r="I34" s="34"/>
      <c r="J34" s="34"/>
      <c r="K34" s="38"/>
      <c r="L34" s="38"/>
      <c r="M34" s="38"/>
      <c r="N34" s="38"/>
      <c r="O34" s="38"/>
      <c r="P34" s="38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9"/>
      <c r="AF34" s="39"/>
      <c r="AG34" s="39"/>
      <c r="AH34" s="39"/>
      <c r="AI34" s="39"/>
      <c r="AJ34" s="42"/>
    </row>
    <row r="35" spans="1:36" x14ac:dyDescent="0.3"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</sheetData>
  <mergeCells count="17">
    <mergeCell ref="AI2:AI3"/>
    <mergeCell ref="E1:P1"/>
    <mergeCell ref="S1:AD1"/>
    <mergeCell ref="AE1:AJ1"/>
    <mergeCell ref="C2:F2"/>
    <mergeCell ref="G2:J2"/>
    <mergeCell ref="K2:M2"/>
    <mergeCell ref="N2:P2"/>
    <mergeCell ref="Q2:T2"/>
    <mergeCell ref="U2:X2"/>
    <mergeCell ref="Y2:AA2"/>
    <mergeCell ref="AJ2:AJ3"/>
    <mergeCell ref="AB2:AD2"/>
    <mergeCell ref="AE2:AE3"/>
    <mergeCell ref="AF2:AF3"/>
    <mergeCell ref="AG2:AG3"/>
    <mergeCell ref="AH2:AH3"/>
  </mergeCells>
  <pageMargins left="0.511811024" right="0.511811024" top="0.78740157499999996" bottom="0.78740157499999996" header="0.31496062000000002" footer="0.3149606200000000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B86FE-FE41-4AD2-BD4B-3D275AF17AFC}">
  <dimension ref="A1:AJ36"/>
  <sheetViews>
    <sheetView workbookViewId="0">
      <selection activeCell="AK14" sqref="AK14"/>
    </sheetView>
  </sheetViews>
  <sheetFormatPr defaultRowHeight="14.4" outlineLevelCol="1" x14ac:dyDescent="0.3"/>
  <cols>
    <col min="1" max="1" width="4.5546875" customWidth="1"/>
    <col min="2" max="2" width="5.6640625" customWidth="1"/>
    <col min="3" max="3" width="8.6640625" hidden="1" customWidth="1" outlineLevel="1"/>
    <col min="4" max="4" width="8.88671875" hidden="1" customWidth="1" outlineLevel="1"/>
    <col min="5" max="5" width="6.88671875" bestFit="1" customWidth="1" collapsed="1"/>
    <col min="6" max="6" width="7.6640625" bestFit="1" customWidth="1"/>
    <col min="7" max="7" width="8.88671875" hidden="1" customWidth="1" outlineLevel="1"/>
    <col min="8" max="8" width="10" hidden="1" customWidth="1" outlineLevel="1"/>
    <col min="9" max="9" width="7.109375" bestFit="1" customWidth="1" collapsed="1"/>
    <col min="10" max="10" width="7.6640625" bestFit="1" customWidth="1"/>
    <col min="11" max="11" width="9.21875" hidden="1" customWidth="1" outlineLevel="1"/>
    <col min="12" max="12" width="9.21875" bestFit="1" customWidth="1" collapsed="1"/>
    <col min="13" max="13" width="9.21875" bestFit="1" customWidth="1"/>
    <col min="14" max="14" width="9.109375" hidden="1" customWidth="1" outlineLevel="1"/>
    <col min="15" max="15" width="9.109375" bestFit="1" customWidth="1" collapsed="1"/>
    <col min="16" max="16" width="10" bestFit="1" customWidth="1"/>
    <col min="17" max="17" width="7.88671875" hidden="1" customWidth="1" outlineLevel="1"/>
    <col min="18" max="18" width="8.21875" hidden="1" customWidth="1" outlineLevel="1"/>
    <col min="19" max="19" width="6.88671875" bestFit="1" customWidth="1" collapsed="1"/>
    <col min="20" max="20" width="6.88671875" bestFit="1" customWidth="1"/>
    <col min="21" max="21" width="9.21875" hidden="1" customWidth="1" outlineLevel="1"/>
    <col min="22" max="22" width="10.44140625" hidden="1" customWidth="1" outlineLevel="1"/>
    <col min="23" max="23" width="8.88671875" bestFit="1" collapsed="1"/>
    <col min="24" max="24" width="7.109375" bestFit="1" customWidth="1"/>
    <col min="25" max="25" width="9.21875" hidden="1" customWidth="1" outlineLevel="1"/>
    <col min="26" max="26" width="10.44140625" customWidth="1" collapsed="1"/>
    <col min="27" max="27" width="9.21875" bestFit="1" customWidth="1"/>
    <col min="28" max="28" width="12.33203125" hidden="1" customWidth="1" outlineLevel="1"/>
    <col min="29" max="29" width="9.109375" bestFit="1" customWidth="1" collapsed="1"/>
    <col min="30" max="30" width="9.109375" bestFit="1" customWidth="1"/>
    <col min="31" max="31" width="7.88671875" bestFit="1" customWidth="1"/>
    <col min="32" max="32" width="9.109375" bestFit="1" customWidth="1"/>
    <col min="33" max="33" width="7.88671875" bestFit="1" customWidth="1"/>
    <col min="34" max="34" width="9.109375" bestFit="1" customWidth="1"/>
    <col min="35" max="35" width="10.44140625" bestFit="1" customWidth="1"/>
    <col min="36" max="36" width="12.21875" customWidth="1"/>
  </cols>
  <sheetData>
    <row r="1" spans="1:36" ht="9" customHeight="1" x14ac:dyDescent="0.3"/>
    <row r="2" spans="1:36" ht="21" x14ac:dyDescent="0.4">
      <c r="C2" s="19" t="s">
        <v>2</v>
      </c>
      <c r="D2" s="19"/>
      <c r="E2" s="72" t="s">
        <v>2</v>
      </c>
      <c r="F2" s="73"/>
      <c r="G2" s="73"/>
      <c r="H2" s="73"/>
      <c r="I2" s="73"/>
      <c r="J2" s="73"/>
      <c r="K2" s="73"/>
      <c r="L2" s="73"/>
      <c r="M2" s="73"/>
      <c r="N2" s="73"/>
      <c r="O2" s="73"/>
      <c r="P2" s="74"/>
      <c r="Q2" s="14"/>
      <c r="R2" s="14"/>
      <c r="S2" s="75" t="s">
        <v>3</v>
      </c>
      <c r="T2" s="76"/>
      <c r="U2" s="76"/>
      <c r="V2" s="76"/>
      <c r="W2" s="76"/>
      <c r="X2" s="76"/>
      <c r="Y2" s="76"/>
      <c r="Z2" s="76"/>
      <c r="AA2" s="76"/>
      <c r="AB2" s="76"/>
      <c r="AC2" s="76"/>
      <c r="AD2" s="77"/>
      <c r="AE2" s="78" t="s">
        <v>15</v>
      </c>
      <c r="AF2" s="79"/>
      <c r="AG2" s="79"/>
      <c r="AH2" s="79"/>
      <c r="AI2" s="79"/>
      <c r="AJ2" s="80"/>
    </row>
    <row r="3" spans="1:36" x14ac:dyDescent="0.3">
      <c r="C3" s="57" t="s">
        <v>17</v>
      </c>
      <c r="D3" s="57"/>
      <c r="E3" s="57"/>
      <c r="F3" s="57"/>
      <c r="G3" s="45" t="s">
        <v>18</v>
      </c>
      <c r="H3" s="45"/>
      <c r="I3" s="45"/>
      <c r="J3" s="45"/>
      <c r="K3" s="57" t="s">
        <v>27</v>
      </c>
      <c r="L3" s="57"/>
      <c r="M3" s="57"/>
      <c r="N3" s="45" t="s">
        <v>31</v>
      </c>
      <c r="O3" s="45"/>
      <c r="P3" s="45"/>
      <c r="Q3" s="57" t="s">
        <v>17</v>
      </c>
      <c r="R3" s="57"/>
      <c r="S3" s="57"/>
      <c r="T3" s="57"/>
      <c r="U3" s="45" t="s">
        <v>18</v>
      </c>
      <c r="V3" s="45"/>
      <c r="W3" s="45"/>
      <c r="X3" s="45"/>
      <c r="Y3" s="57" t="s">
        <v>27</v>
      </c>
      <c r="Z3" s="57"/>
      <c r="AA3" s="57"/>
      <c r="AB3" s="45" t="s">
        <v>31</v>
      </c>
      <c r="AC3" s="45"/>
      <c r="AD3" s="45"/>
      <c r="AE3" s="49" t="s">
        <v>0</v>
      </c>
      <c r="AF3" s="50" t="s">
        <v>39</v>
      </c>
      <c r="AG3" s="58" t="s">
        <v>1</v>
      </c>
      <c r="AH3" s="50" t="s">
        <v>40</v>
      </c>
      <c r="AI3" s="59" t="s">
        <v>15</v>
      </c>
      <c r="AJ3" s="61" t="s">
        <v>33</v>
      </c>
    </row>
    <row r="4" spans="1:36" ht="34.200000000000003" x14ac:dyDescent="0.3">
      <c r="B4" s="10" t="s">
        <v>32</v>
      </c>
      <c r="C4" s="8" t="s">
        <v>5</v>
      </c>
      <c r="D4" s="8" t="s">
        <v>6</v>
      </c>
      <c r="E4" s="16" t="s">
        <v>23</v>
      </c>
      <c r="F4" s="9" t="s">
        <v>35</v>
      </c>
      <c r="G4" s="8" t="s">
        <v>4</v>
      </c>
      <c r="H4" s="8" t="s">
        <v>14</v>
      </c>
      <c r="I4" s="16" t="s">
        <v>24</v>
      </c>
      <c r="J4" s="9" t="s">
        <v>36</v>
      </c>
      <c r="K4" s="8" t="s">
        <v>20</v>
      </c>
      <c r="L4" s="16" t="s">
        <v>28</v>
      </c>
      <c r="M4" s="9" t="s">
        <v>37</v>
      </c>
      <c r="N4" s="8" t="s">
        <v>16</v>
      </c>
      <c r="O4" s="16" t="s">
        <v>29</v>
      </c>
      <c r="P4" s="9" t="s">
        <v>38</v>
      </c>
      <c r="Q4" s="8" t="s">
        <v>5</v>
      </c>
      <c r="R4" s="8" t="s">
        <v>6</v>
      </c>
      <c r="S4" s="15" t="s">
        <v>23</v>
      </c>
      <c r="T4" s="11" t="s">
        <v>35</v>
      </c>
      <c r="U4" s="8" t="s">
        <v>4</v>
      </c>
      <c r="V4" s="8" t="s">
        <v>14</v>
      </c>
      <c r="W4" s="15" t="s">
        <v>24</v>
      </c>
      <c r="X4" s="11" t="s">
        <v>36</v>
      </c>
      <c r="Y4" s="8" t="s">
        <v>20</v>
      </c>
      <c r="Z4" s="15" t="s">
        <v>28</v>
      </c>
      <c r="AA4" s="11" t="s">
        <v>37</v>
      </c>
      <c r="AB4" s="8" t="s">
        <v>16</v>
      </c>
      <c r="AC4" s="15" t="s">
        <v>29</v>
      </c>
      <c r="AD4" s="11" t="s">
        <v>38</v>
      </c>
      <c r="AE4" s="49"/>
      <c r="AF4" s="50"/>
      <c r="AG4" s="58"/>
      <c r="AH4" s="50"/>
      <c r="AI4" s="60"/>
      <c r="AJ4" s="62"/>
    </row>
    <row r="5" spans="1:36" x14ac:dyDescent="0.3">
      <c r="A5" s="31" t="s">
        <v>7</v>
      </c>
      <c r="B5" s="32">
        <v>46082</v>
      </c>
      <c r="C5" s="33">
        <v>10905</v>
      </c>
      <c r="D5" s="34">
        <v>0</v>
      </c>
      <c r="E5" s="34">
        <f>SUM(C5:D5)</f>
        <v>10905</v>
      </c>
      <c r="F5" s="35">
        <f>E5</f>
        <v>10905</v>
      </c>
      <c r="G5" s="34">
        <v>0</v>
      </c>
      <c r="H5" s="34">
        <v>0</v>
      </c>
      <c r="I5" s="34">
        <f>SUM(G5:H5)</f>
        <v>0</v>
      </c>
      <c r="J5" s="35">
        <f>I5</f>
        <v>0</v>
      </c>
      <c r="K5" s="34">
        <v>0</v>
      </c>
      <c r="L5" s="34">
        <f>K5</f>
        <v>0</v>
      </c>
      <c r="M5" s="35">
        <f>L5</f>
        <v>0</v>
      </c>
      <c r="N5" s="34">
        <v>1270</v>
      </c>
      <c r="O5" s="34">
        <f>N5</f>
        <v>1270</v>
      </c>
      <c r="P5" s="35">
        <f>O5</f>
        <v>1270</v>
      </c>
      <c r="Q5" s="34">
        <v>0</v>
      </c>
      <c r="R5" s="34">
        <v>0</v>
      </c>
      <c r="S5" s="34">
        <f t="shared" ref="S5:S20" si="0">SUM(Q5:R5)</f>
        <v>0</v>
      </c>
      <c r="T5" s="35">
        <f>S5</f>
        <v>0</v>
      </c>
      <c r="U5" s="34">
        <v>0</v>
      </c>
      <c r="V5" s="34">
        <v>0</v>
      </c>
      <c r="W5" s="34">
        <f t="shared" ref="W5:W19" si="1">SUM(U5:V5)</f>
        <v>0</v>
      </c>
      <c r="X5" s="35">
        <f>W5</f>
        <v>0</v>
      </c>
      <c r="Y5" s="36">
        <v>0</v>
      </c>
      <c r="Z5" s="34">
        <f t="shared" ref="Z5:Z19" si="2">SUM(Y5)</f>
        <v>0</v>
      </c>
      <c r="AA5" s="35">
        <f>Z5</f>
        <v>0</v>
      </c>
      <c r="AB5" s="34">
        <v>0</v>
      </c>
      <c r="AC5" s="34">
        <f t="shared" ref="AC5:AC19" si="3">SUM(AB5)</f>
        <v>0</v>
      </c>
      <c r="AD5" s="35">
        <f>AC5</f>
        <v>0</v>
      </c>
      <c r="AE5" s="39">
        <f>E5+I5+L5+O5</f>
        <v>12175</v>
      </c>
      <c r="AF5" s="40">
        <f>AE5</f>
        <v>12175</v>
      </c>
      <c r="AG5" s="39">
        <v>0</v>
      </c>
      <c r="AH5" s="41">
        <f>AG5</f>
        <v>0</v>
      </c>
      <c r="AI5" s="39">
        <f>AG5-AE5</f>
        <v>-12175</v>
      </c>
      <c r="AJ5" s="41">
        <f>AI5</f>
        <v>-12175</v>
      </c>
    </row>
    <row r="6" spans="1:36" x14ac:dyDescent="0.3">
      <c r="A6" s="31" t="s">
        <v>8</v>
      </c>
      <c r="B6" s="32">
        <v>46083</v>
      </c>
      <c r="C6" s="34">
        <v>30973</v>
      </c>
      <c r="D6" s="34">
        <v>0</v>
      </c>
      <c r="E6" s="34">
        <f t="shared" ref="E6:E22" si="4">SUM(C6:D6)</f>
        <v>30973</v>
      </c>
      <c r="F6" s="35">
        <f>E6+F5</f>
        <v>41878</v>
      </c>
      <c r="G6" s="34">
        <v>54198.39</v>
      </c>
      <c r="H6" s="34">
        <v>1063.9000000000001</v>
      </c>
      <c r="I6" s="34">
        <f t="shared" ref="I6:I22" si="5">SUM(G6:H6)</f>
        <v>55262.29</v>
      </c>
      <c r="J6" s="35">
        <f>I6+J5</f>
        <v>55262.29</v>
      </c>
      <c r="K6" s="34">
        <v>10125.89</v>
      </c>
      <c r="L6" s="34">
        <f t="shared" ref="L6:L22" si="6">K6</f>
        <v>10125.89</v>
      </c>
      <c r="M6" s="35">
        <f>L6+M5</f>
        <v>10125.89</v>
      </c>
      <c r="N6" s="34">
        <v>85733.49</v>
      </c>
      <c r="O6" s="34">
        <f t="shared" ref="O6:O22" si="7">N6</f>
        <v>85733.49</v>
      </c>
      <c r="P6" s="35">
        <f>O6+P5</f>
        <v>87003.49</v>
      </c>
      <c r="Q6" s="34"/>
      <c r="R6" s="34"/>
      <c r="S6" s="34">
        <f t="shared" si="0"/>
        <v>0</v>
      </c>
      <c r="T6" s="35">
        <f>S6+T5</f>
        <v>0</v>
      </c>
      <c r="U6" s="34"/>
      <c r="V6" s="34"/>
      <c r="W6" s="34">
        <f t="shared" si="1"/>
        <v>0</v>
      </c>
      <c r="X6" s="35">
        <f>W6+X5</f>
        <v>0</v>
      </c>
      <c r="Y6" s="34"/>
      <c r="Z6" s="34">
        <f t="shared" si="2"/>
        <v>0</v>
      </c>
      <c r="AA6" s="35">
        <f>AA5+Z6</f>
        <v>0</v>
      </c>
      <c r="AB6" s="34"/>
      <c r="AC6" s="34">
        <f t="shared" si="3"/>
        <v>0</v>
      </c>
      <c r="AD6" s="35">
        <f>AC6+AD5</f>
        <v>0</v>
      </c>
      <c r="AE6" s="39">
        <f t="shared" ref="AE6:AE21" si="8">E6+I6+L6+O6</f>
        <v>182094.67</v>
      </c>
      <c r="AF6" s="40">
        <f>AE6+AF5</f>
        <v>194269.67</v>
      </c>
      <c r="AG6" s="39">
        <v>179722.9</v>
      </c>
      <c r="AH6" s="41">
        <f>AG6+AH5</f>
        <v>179722.9</v>
      </c>
      <c r="AI6" s="39">
        <f t="shared" ref="AI6:AI21" si="9">AG6-AE6</f>
        <v>-2371.7700000000186</v>
      </c>
      <c r="AJ6" s="41">
        <f>AI6+AJ5</f>
        <v>-14546.770000000019</v>
      </c>
    </row>
    <row r="7" spans="1:36" x14ac:dyDescent="0.3">
      <c r="A7" s="31" t="s">
        <v>9</v>
      </c>
      <c r="B7" s="32">
        <v>46084</v>
      </c>
      <c r="C7" s="34">
        <v>30381.62</v>
      </c>
      <c r="D7" s="34">
        <v>17990</v>
      </c>
      <c r="E7" s="34">
        <f t="shared" si="4"/>
        <v>48371.619999999995</v>
      </c>
      <c r="F7" s="35">
        <f t="shared" ref="F7:F22" si="10">E7+F6</f>
        <v>90249.62</v>
      </c>
      <c r="G7" s="34">
        <v>56589.09</v>
      </c>
      <c r="H7" s="34">
        <v>201.17</v>
      </c>
      <c r="I7" s="34">
        <f t="shared" si="5"/>
        <v>56790.259999999995</v>
      </c>
      <c r="J7" s="35">
        <f>I7+J6</f>
        <v>112052.54999999999</v>
      </c>
      <c r="K7" s="34">
        <v>7475.78</v>
      </c>
      <c r="L7" s="34">
        <f t="shared" si="6"/>
        <v>7475.78</v>
      </c>
      <c r="M7" s="35">
        <f t="shared" ref="M7:M22" si="11">L7+M6</f>
        <v>17601.669999999998</v>
      </c>
      <c r="N7" s="34">
        <v>29803.29</v>
      </c>
      <c r="O7" s="34">
        <f t="shared" si="7"/>
        <v>29803.29</v>
      </c>
      <c r="P7" s="35">
        <f t="shared" ref="P7:P22" si="12">O7+P6</f>
        <v>116806.78</v>
      </c>
      <c r="Q7" s="34"/>
      <c r="R7" s="34"/>
      <c r="S7" s="34">
        <f t="shared" si="0"/>
        <v>0</v>
      </c>
      <c r="T7" s="35">
        <f t="shared" ref="T7:T21" si="13">S7+T6</f>
        <v>0</v>
      </c>
      <c r="U7" s="34"/>
      <c r="V7" s="34"/>
      <c r="W7" s="34">
        <f t="shared" si="1"/>
        <v>0</v>
      </c>
      <c r="X7" s="35">
        <f t="shared" ref="X7:X21" si="14">W7+X6</f>
        <v>0</v>
      </c>
      <c r="Y7" s="34"/>
      <c r="Z7" s="34">
        <f t="shared" si="2"/>
        <v>0</v>
      </c>
      <c r="AA7" s="35">
        <f t="shared" ref="AA7:AA21" si="15">AA6+Z7</f>
        <v>0</v>
      </c>
      <c r="AB7" s="34"/>
      <c r="AC7" s="34">
        <f t="shared" si="3"/>
        <v>0</v>
      </c>
      <c r="AD7" s="35">
        <f t="shared" ref="AD7:AD21" si="16">AC7+AD6</f>
        <v>0</v>
      </c>
      <c r="AE7" s="39">
        <f t="shared" si="8"/>
        <v>142440.94999999998</v>
      </c>
      <c r="AF7" s="40">
        <f>AE7+AF6</f>
        <v>336710.62</v>
      </c>
      <c r="AG7" s="39">
        <v>89751.56</v>
      </c>
      <c r="AH7" s="41">
        <f>AG7+AH6</f>
        <v>269474.45999999996</v>
      </c>
      <c r="AI7" s="39">
        <f t="shared" si="9"/>
        <v>-52689.389999999985</v>
      </c>
      <c r="AJ7" s="41">
        <f>AI7+AJ6</f>
        <v>-67236.160000000003</v>
      </c>
    </row>
    <row r="8" spans="1:36" x14ac:dyDescent="0.3">
      <c r="A8" s="31" t="s">
        <v>10</v>
      </c>
      <c r="B8" s="32">
        <v>46085</v>
      </c>
      <c r="C8" s="34">
        <v>26375.24</v>
      </c>
      <c r="D8" s="34">
        <v>0</v>
      </c>
      <c r="E8" s="34">
        <f t="shared" si="4"/>
        <v>26375.24</v>
      </c>
      <c r="F8" s="35">
        <f t="shared" si="10"/>
        <v>116624.86</v>
      </c>
      <c r="G8" s="34">
        <v>34726</v>
      </c>
      <c r="H8" s="34">
        <v>10033.120000000001</v>
      </c>
      <c r="I8" s="34">
        <f t="shared" si="5"/>
        <v>44759.12</v>
      </c>
      <c r="J8" s="35">
        <f t="shared" ref="J8:J22" si="17">I8+J7</f>
        <v>156811.66999999998</v>
      </c>
      <c r="K8" s="34">
        <v>7858.89</v>
      </c>
      <c r="L8" s="34">
        <f t="shared" si="6"/>
        <v>7858.89</v>
      </c>
      <c r="M8" s="35">
        <f t="shared" si="11"/>
        <v>25460.559999999998</v>
      </c>
      <c r="N8" s="34">
        <v>24919.56</v>
      </c>
      <c r="O8" s="34">
        <f t="shared" si="7"/>
        <v>24919.56</v>
      </c>
      <c r="P8" s="35">
        <f t="shared" si="12"/>
        <v>141726.34</v>
      </c>
      <c r="Q8" s="34"/>
      <c r="R8" s="34"/>
      <c r="S8" s="34">
        <f t="shared" si="0"/>
        <v>0</v>
      </c>
      <c r="T8" s="35">
        <f t="shared" si="13"/>
        <v>0</v>
      </c>
      <c r="U8" s="34"/>
      <c r="V8" s="34"/>
      <c r="W8" s="34">
        <f t="shared" si="1"/>
        <v>0</v>
      </c>
      <c r="X8" s="35">
        <f t="shared" si="14"/>
        <v>0</v>
      </c>
      <c r="Y8" s="34"/>
      <c r="Z8" s="34">
        <f t="shared" si="2"/>
        <v>0</v>
      </c>
      <c r="AA8" s="35">
        <f t="shared" si="15"/>
        <v>0</v>
      </c>
      <c r="AB8" s="34"/>
      <c r="AC8" s="34">
        <f t="shared" si="3"/>
        <v>0</v>
      </c>
      <c r="AD8" s="35">
        <f t="shared" si="16"/>
        <v>0</v>
      </c>
      <c r="AE8" s="39">
        <f t="shared" si="8"/>
        <v>103912.81</v>
      </c>
      <c r="AF8" s="40">
        <f t="shared" ref="AF8:AF21" si="18">AE8+AF7</f>
        <v>440623.43</v>
      </c>
      <c r="AG8" s="39">
        <v>72873.960000000006</v>
      </c>
      <c r="AH8" s="41">
        <f t="shared" ref="AH8:AH21" si="19">AG8+AH7</f>
        <v>342348.42</v>
      </c>
      <c r="AI8" s="39">
        <f t="shared" si="9"/>
        <v>-31038.849999999991</v>
      </c>
      <c r="AJ8" s="41">
        <f>AI8+AJ7</f>
        <v>-98275.01</v>
      </c>
    </row>
    <row r="9" spans="1:36" x14ac:dyDescent="0.3">
      <c r="A9" s="31" t="s">
        <v>11</v>
      </c>
      <c r="B9" s="32">
        <v>46086</v>
      </c>
      <c r="C9" s="34">
        <v>31634.89</v>
      </c>
      <c r="D9" s="34">
        <v>0</v>
      </c>
      <c r="E9" s="34">
        <f t="shared" si="4"/>
        <v>31634.89</v>
      </c>
      <c r="F9" s="35">
        <f t="shared" si="10"/>
        <v>148259.75</v>
      </c>
      <c r="G9" s="34">
        <v>26509.39</v>
      </c>
      <c r="H9" s="34">
        <v>12330.95</v>
      </c>
      <c r="I9" s="34">
        <f t="shared" si="5"/>
        <v>38840.339999999997</v>
      </c>
      <c r="J9" s="35">
        <f t="shared" si="17"/>
        <v>195652.00999999998</v>
      </c>
      <c r="K9" s="37">
        <f>166340.67-153521.5</f>
        <v>12819.170000000013</v>
      </c>
      <c r="L9" s="34">
        <f t="shared" si="6"/>
        <v>12819.170000000013</v>
      </c>
      <c r="M9" s="35">
        <f t="shared" si="11"/>
        <v>38279.73000000001</v>
      </c>
      <c r="N9" s="34">
        <v>24250.95</v>
      </c>
      <c r="O9" s="34">
        <f t="shared" si="7"/>
        <v>24250.95</v>
      </c>
      <c r="P9" s="35">
        <f t="shared" si="12"/>
        <v>165977.29</v>
      </c>
      <c r="Q9" s="34"/>
      <c r="R9" s="34"/>
      <c r="S9" s="34">
        <f t="shared" si="0"/>
        <v>0</v>
      </c>
      <c r="T9" s="35">
        <f t="shared" si="13"/>
        <v>0</v>
      </c>
      <c r="U9" s="34"/>
      <c r="V9" s="34"/>
      <c r="W9" s="34">
        <f t="shared" si="1"/>
        <v>0</v>
      </c>
      <c r="X9" s="35">
        <f t="shared" si="14"/>
        <v>0</v>
      </c>
      <c r="Y9" s="34"/>
      <c r="Z9" s="34">
        <f t="shared" si="2"/>
        <v>0</v>
      </c>
      <c r="AA9" s="35">
        <f t="shared" si="15"/>
        <v>0</v>
      </c>
      <c r="AB9" s="34"/>
      <c r="AC9" s="34">
        <f t="shared" si="3"/>
        <v>0</v>
      </c>
      <c r="AD9" s="35">
        <f t="shared" si="16"/>
        <v>0</v>
      </c>
      <c r="AE9" s="39">
        <f t="shared" si="8"/>
        <v>107545.35</v>
      </c>
      <c r="AF9" s="40">
        <f t="shared" si="18"/>
        <v>548168.78</v>
      </c>
      <c r="AG9" s="39">
        <v>118017.9</v>
      </c>
      <c r="AH9" s="41">
        <f t="shared" si="19"/>
        <v>460366.31999999995</v>
      </c>
      <c r="AI9" s="39">
        <f t="shared" si="9"/>
        <v>10472.549999999988</v>
      </c>
      <c r="AJ9" s="41">
        <f t="shared" ref="AJ9:AJ21" si="20">AI9+AJ8</f>
        <v>-87802.46</v>
      </c>
    </row>
    <row r="10" spans="1:36" x14ac:dyDescent="0.3">
      <c r="A10" s="31" t="s">
        <v>12</v>
      </c>
      <c r="B10" s="32">
        <v>46087</v>
      </c>
      <c r="C10" s="34">
        <v>41124.39</v>
      </c>
      <c r="D10" s="34">
        <v>0</v>
      </c>
      <c r="E10" s="34">
        <f t="shared" si="4"/>
        <v>41124.39</v>
      </c>
      <c r="F10" s="35">
        <f t="shared" si="10"/>
        <v>189384.14</v>
      </c>
      <c r="G10" s="34">
        <v>30823</v>
      </c>
      <c r="H10" s="34">
        <v>212.78</v>
      </c>
      <c r="I10" s="34">
        <f t="shared" si="5"/>
        <v>31035.78</v>
      </c>
      <c r="J10" s="35">
        <f t="shared" si="17"/>
        <v>226687.78999999998</v>
      </c>
      <c r="K10" s="34">
        <v>6139.78</v>
      </c>
      <c r="L10" s="34">
        <f t="shared" si="6"/>
        <v>6139.78</v>
      </c>
      <c r="M10" s="35">
        <f t="shared" si="11"/>
        <v>44419.510000000009</v>
      </c>
      <c r="N10" s="37">
        <f>70444.9-43350.12</f>
        <v>27094.779999999992</v>
      </c>
      <c r="O10" s="34">
        <f t="shared" si="7"/>
        <v>27094.779999999992</v>
      </c>
      <c r="P10" s="35">
        <f t="shared" si="12"/>
        <v>193072.07</v>
      </c>
      <c r="Q10" s="34"/>
      <c r="R10" s="34"/>
      <c r="S10" s="34">
        <f t="shared" si="0"/>
        <v>0</v>
      </c>
      <c r="T10" s="35">
        <f t="shared" si="13"/>
        <v>0</v>
      </c>
      <c r="U10" s="34"/>
      <c r="V10" s="34"/>
      <c r="W10" s="34">
        <f t="shared" si="1"/>
        <v>0</v>
      </c>
      <c r="X10" s="35">
        <f t="shared" si="14"/>
        <v>0</v>
      </c>
      <c r="Y10" s="34"/>
      <c r="Z10" s="34">
        <f t="shared" si="2"/>
        <v>0</v>
      </c>
      <c r="AA10" s="35">
        <f t="shared" si="15"/>
        <v>0</v>
      </c>
      <c r="AB10" s="34"/>
      <c r="AC10" s="34">
        <f t="shared" si="3"/>
        <v>0</v>
      </c>
      <c r="AD10" s="35">
        <f t="shared" si="16"/>
        <v>0</v>
      </c>
      <c r="AE10" s="39">
        <f t="shared" si="8"/>
        <v>105394.72999999998</v>
      </c>
      <c r="AF10" s="40">
        <f t="shared" si="18"/>
        <v>653563.51</v>
      </c>
      <c r="AG10" s="39">
        <v>96279.26</v>
      </c>
      <c r="AH10" s="41">
        <f t="shared" si="19"/>
        <v>556645.57999999996</v>
      </c>
      <c r="AI10" s="39">
        <f t="shared" si="9"/>
        <v>-9115.4699999999866</v>
      </c>
      <c r="AJ10" s="41">
        <f t="shared" si="20"/>
        <v>-96917.93</v>
      </c>
    </row>
    <row r="11" spans="1:36" x14ac:dyDescent="0.3">
      <c r="A11" s="31" t="s">
        <v>13</v>
      </c>
      <c r="B11" s="32">
        <v>46088</v>
      </c>
      <c r="C11" s="34">
        <v>26927.89</v>
      </c>
      <c r="D11" s="34">
        <v>0</v>
      </c>
      <c r="E11" s="34">
        <f t="shared" si="4"/>
        <v>26927.89</v>
      </c>
      <c r="F11" s="35">
        <f t="shared" si="10"/>
        <v>216312.03000000003</v>
      </c>
      <c r="G11" s="34">
        <v>62281.39</v>
      </c>
      <c r="H11" s="34">
        <v>106.39</v>
      </c>
      <c r="I11" s="34">
        <f t="shared" si="5"/>
        <v>62387.78</v>
      </c>
      <c r="J11" s="35">
        <f t="shared" si="17"/>
        <v>289075.56999999995</v>
      </c>
      <c r="K11" s="34">
        <v>4375.8900000000003</v>
      </c>
      <c r="L11" s="34">
        <f t="shared" si="6"/>
        <v>4375.8900000000003</v>
      </c>
      <c r="M11" s="35">
        <f t="shared" si="11"/>
        <v>48795.400000000009</v>
      </c>
      <c r="N11" s="34">
        <v>36613.39</v>
      </c>
      <c r="O11" s="34">
        <f t="shared" si="7"/>
        <v>36613.39</v>
      </c>
      <c r="P11" s="35">
        <f t="shared" si="12"/>
        <v>229685.46000000002</v>
      </c>
      <c r="Q11" s="34">
        <v>0</v>
      </c>
      <c r="R11" s="34">
        <v>0</v>
      </c>
      <c r="S11" s="34">
        <f t="shared" si="0"/>
        <v>0</v>
      </c>
      <c r="T11" s="35">
        <f t="shared" si="13"/>
        <v>0</v>
      </c>
      <c r="U11" s="34">
        <v>0</v>
      </c>
      <c r="V11" s="34">
        <v>0</v>
      </c>
      <c r="W11" s="34">
        <f t="shared" si="1"/>
        <v>0</v>
      </c>
      <c r="X11" s="35">
        <f t="shared" si="14"/>
        <v>0</v>
      </c>
      <c r="Y11" s="34">
        <v>0</v>
      </c>
      <c r="Z11" s="34">
        <f t="shared" si="2"/>
        <v>0</v>
      </c>
      <c r="AA11" s="35">
        <f t="shared" si="15"/>
        <v>0</v>
      </c>
      <c r="AB11" s="34">
        <v>0</v>
      </c>
      <c r="AC11" s="34">
        <f t="shared" si="3"/>
        <v>0</v>
      </c>
      <c r="AD11" s="35">
        <f t="shared" si="16"/>
        <v>0</v>
      </c>
      <c r="AE11" s="39">
        <f t="shared" si="8"/>
        <v>130304.95</v>
      </c>
      <c r="AF11" s="40">
        <f t="shared" si="18"/>
        <v>783868.46</v>
      </c>
      <c r="AG11" s="39">
        <v>0</v>
      </c>
      <c r="AH11" s="41">
        <f t="shared" si="19"/>
        <v>556645.57999999996</v>
      </c>
      <c r="AI11" s="39">
        <f t="shared" si="9"/>
        <v>-130304.95</v>
      </c>
      <c r="AJ11" s="41">
        <f t="shared" si="20"/>
        <v>-227222.88</v>
      </c>
    </row>
    <row r="12" spans="1:36" x14ac:dyDescent="0.3">
      <c r="A12" s="31" t="s">
        <v>7</v>
      </c>
      <c r="B12" s="32">
        <v>46089</v>
      </c>
      <c r="C12" s="34">
        <v>7999</v>
      </c>
      <c r="D12" s="34">
        <v>0</v>
      </c>
      <c r="E12" s="34">
        <f t="shared" si="4"/>
        <v>7999</v>
      </c>
      <c r="F12" s="35">
        <f t="shared" si="10"/>
        <v>224311.03000000003</v>
      </c>
      <c r="G12" s="34">
        <v>0</v>
      </c>
      <c r="H12" s="34">
        <v>0</v>
      </c>
      <c r="I12" s="34">
        <f t="shared" si="5"/>
        <v>0</v>
      </c>
      <c r="J12" s="35">
        <f t="shared" si="17"/>
        <v>289075.56999999995</v>
      </c>
      <c r="K12" s="34">
        <v>0</v>
      </c>
      <c r="L12" s="34">
        <f t="shared" si="6"/>
        <v>0</v>
      </c>
      <c r="M12" s="35">
        <f t="shared" si="11"/>
        <v>48795.400000000009</v>
      </c>
      <c r="N12" s="34">
        <v>5946.39</v>
      </c>
      <c r="O12" s="34">
        <f t="shared" si="7"/>
        <v>5946.39</v>
      </c>
      <c r="P12" s="35">
        <f t="shared" si="12"/>
        <v>235631.85000000003</v>
      </c>
      <c r="Q12" s="34">
        <v>0</v>
      </c>
      <c r="R12" s="34">
        <v>0</v>
      </c>
      <c r="S12" s="34">
        <f t="shared" si="0"/>
        <v>0</v>
      </c>
      <c r="T12" s="35">
        <f t="shared" si="13"/>
        <v>0</v>
      </c>
      <c r="U12" s="34">
        <v>0</v>
      </c>
      <c r="V12" s="34">
        <v>0</v>
      </c>
      <c r="W12" s="34">
        <f t="shared" si="1"/>
        <v>0</v>
      </c>
      <c r="X12" s="35">
        <f t="shared" si="14"/>
        <v>0</v>
      </c>
      <c r="Y12" s="34">
        <v>0</v>
      </c>
      <c r="Z12" s="34">
        <f t="shared" si="2"/>
        <v>0</v>
      </c>
      <c r="AA12" s="35">
        <f t="shared" si="15"/>
        <v>0</v>
      </c>
      <c r="AB12" s="34">
        <v>0</v>
      </c>
      <c r="AC12" s="34">
        <f t="shared" si="3"/>
        <v>0</v>
      </c>
      <c r="AD12" s="35">
        <f t="shared" si="16"/>
        <v>0</v>
      </c>
      <c r="AE12" s="39">
        <f t="shared" si="8"/>
        <v>13945.39</v>
      </c>
      <c r="AF12" s="40">
        <f t="shared" si="18"/>
        <v>797813.85</v>
      </c>
      <c r="AG12" s="39">
        <v>0</v>
      </c>
      <c r="AH12" s="41">
        <f t="shared" si="19"/>
        <v>556645.57999999996</v>
      </c>
      <c r="AI12" s="39">
        <f t="shared" si="9"/>
        <v>-13945.39</v>
      </c>
      <c r="AJ12" s="41">
        <f t="shared" si="20"/>
        <v>-241168.27000000002</v>
      </c>
    </row>
    <row r="13" spans="1:36" x14ac:dyDescent="0.3">
      <c r="A13" s="31" t="s">
        <v>8</v>
      </c>
      <c r="B13" s="32">
        <v>46090</v>
      </c>
      <c r="C13" s="34">
        <v>21148.17</v>
      </c>
      <c r="D13" s="34">
        <v>0</v>
      </c>
      <c r="E13" s="34">
        <f t="shared" si="4"/>
        <v>21148.17</v>
      </c>
      <c r="F13" s="35">
        <f t="shared" si="10"/>
        <v>245459.20000000001</v>
      </c>
      <c r="G13" s="34">
        <v>46453</v>
      </c>
      <c r="H13" s="34">
        <v>744.73</v>
      </c>
      <c r="I13" s="34">
        <f t="shared" si="5"/>
        <v>47197.73</v>
      </c>
      <c r="J13" s="35">
        <f t="shared" si="17"/>
        <v>336273.29999999993</v>
      </c>
      <c r="K13" s="34">
        <v>10505</v>
      </c>
      <c r="L13" s="34">
        <f t="shared" si="6"/>
        <v>10505</v>
      </c>
      <c r="M13" s="35">
        <f t="shared" si="11"/>
        <v>59300.400000000009</v>
      </c>
      <c r="N13" s="34">
        <v>19601.169999999998</v>
      </c>
      <c r="O13" s="34">
        <f t="shared" si="7"/>
        <v>19601.169999999998</v>
      </c>
      <c r="P13" s="35">
        <f t="shared" si="12"/>
        <v>255233.02000000002</v>
      </c>
      <c r="Q13" s="34"/>
      <c r="R13" s="34"/>
      <c r="S13" s="34">
        <f t="shared" si="0"/>
        <v>0</v>
      </c>
      <c r="T13" s="35">
        <f t="shared" si="13"/>
        <v>0</v>
      </c>
      <c r="U13" s="34"/>
      <c r="V13" s="34"/>
      <c r="W13" s="34">
        <f t="shared" si="1"/>
        <v>0</v>
      </c>
      <c r="X13" s="35">
        <f t="shared" si="14"/>
        <v>0</v>
      </c>
      <c r="Y13" s="34"/>
      <c r="Z13" s="34">
        <f t="shared" si="2"/>
        <v>0</v>
      </c>
      <c r="AA13" s="35">
        <f t="shared" si="15"/>
        <v>0</v>
      </c>
      <c r="AB13" s="34"/>
      <c r="AC13" s="34">
        <f t="shared" si="3"/>
        <v>0</v>
      </c>
      <c r="AD13" s="35">
        <f t="shared" si="16"/>
        <v>0</v>
      </c>
      <c r="AE13" s="39">
        <f t="shared" si="8"/>
        <v>98452.069999999992</v>
      </c>
      <c r="AF13" s="40">
        <f t="shared" si="18"/>
        <v>896265.91999999993</v>
      </c>
      <c r="AG13" s="39">
        <v>165603.78</v>
      </c>
      <c r="AH13" s="41">
        <f t="shared" si="19"/>
        <v>722249.36</v>
      </c>
      <c r="AI13" s="39">
        <f t="shared" si="9"/>
        <v>67151.710000000006</v>
      </c>
      <c r="AJ13" s="41">
        <f t="shared" si="20"/>
        <v>-174016.56</v>
      </c>
    </row>
    <row r="14" spans="1:36" x14ac:dyDescent="0.3">
      <c r="A14" s="31" t="s">
        <v>9</v>
      </c>
      <c r="B14" s="32">
        <v>46091</v>
      </c>
      <c r="C14" s="34">
        <v>34271.29</v>
      </c>
      <c r="D14" s="34">
        <v>0</v>
      </c>
      <c r="E14" s="34">
        <f t="shared" si="4"/>
        <v>34271.29</v>
      </c>
      <c r="F14" s="35">
        <f t="shared" si="10"/>
        <v>279730.49</v>
      </c>
      <c r="G14" s="37">
        <f>71492.87-17000</f>
        <v>54492.869999999995</v>
      </c>
      <c r="H14" s="34">
        <v>5961.95</v>
      </c>
      <c r="I14" s="34">
        <f t="shared" si="5"/>
        <v>60454.819999999992</v>
      </c>
      <c r="J14" s="35">
        <f t="shared" si="17"/>
        <v>396728.11999999994</v>
      </c>
      <c r="K14" s="34">
        <v>9482.2800000000007</v>
      </c>
      <c r="L14" s="34">
        <f t="shared" si="6"/>
        <v>9482.2800000000007</v>
      </c>
      <c r="M14" s="35">
        <f t="shared" si="11"/>
        <v>68782.680000000008</v>
      </c>
      <c r="N14" s="34">
        <v>27712.78</v>
      </c>
      <c r="O14" s="34">
        <f t="shared" si="7"/>
        <v>27712.78</v>
      </c>
      <c r="P14" s="35">
        <f t="shared" si="12"/>
        <v>282945.80000000005</v>
      </c>
      <c r="Q14" s="34"/>
      <c r="R14" s="34"/>
      <c r="S14" s="34">
        <f t="shared" si="0"/>
        <v>0</v>
      </c>
      <c r="T14" s="35">
        <f t="shared" si="13"/>
        <v>0</v>
      </c>
      <c r="U14" s="34"/>
      <c r="V14" s="34"/>
      <c r="W14" s="34">
        <f t="shared" si="1"/>
        <v>0</v>
      </c>
      <c r="X14" s="35">
        <f t="shared" si="14"/>
        <v>0</v>
      </c>
      <c r="Y14" s="34"/>
      <c r="Z14" s="34">
        <f t="shared" si="2"/>
        <v>0</v>
      </c>
      <c r="AA14" s="35">
        <f t="shared" si="15"/>
        <v>0</v>
      </c>
      <c r="AB14" s="34"/>
      <c r="AC14" s="34">
        <f t="shared" si="3"/>
        <v>0</v>
      </c>
      <c r="AD14" s="35">
        <f t="shared" si="16"/>
        <v>0</v>
      </c>
      <c r="AE14" s="39">
        <f t="shared" si="8"/>
        <v>131921.16999999998</v>
      </c>
      <c r="AF14" s="40">
        <f t="shared" si="18"/>
        <v>1028187.0899999999</v>
      </c>
      <c r="AG14" s="39">
        <v>126688.25</v>
      </c>
      <c r="AH14" s="41">
        <f t="shared" si="19"/>
        <v>848937.61</v>
      </c>
      <c r="AI14" s="39">
        <f t="shared" si="9"/>
        <v>-5232.9199999999837</v>
      </c>
      <c r="AJ14" s="41">
        <f t="shared" si="20"/>
        <v>-179249.47999999998</v>
      </c>
    </row>
    <row r="15" spans="1:36" x14ac:dyDescent="0.3">
      <c r="A15" s="31" t="s">
        <v>10</v>
      </c>
      <c r="B15" s="32">
        <v>46092</v>
      </c>
      <c r="C15" s="34">
        <v>33376.5</v>
      </c>
      <c r="D15" s="34">
        <v>0</v>
      </c>
      <c r="E15" s="34">
        <f t="shared" si="4"/>
        <v>33376.5</v>
      </c>
      <c r="F15" s="35">
        <f t="shared" si="10"/>
        <v>313106.99</v>
      </c>
      <c r="G15" s="34">
        <v>23570.39</v>
      </c>
      <c r="H15" s="34">
        <v>11428.67</v>
      </c>
      <c r="I15" s="34">
        <f t="shared" si="5"/>
        <v>34999.06</v>
      </c>
      <c r="J15" s="35">
        <f t="shared" si="17"/>
        <v>431727.17999999993</v>
      </c>
      <c r="K15" s="34">
        <v>8377.89</v>
      </c>
      <c r="L15" s="34">
        <f t="shared" si="6"/>
        <v>8377.89</v>
      </c>
      <c r="M15" s="35">
        <f t="shared" si="11"/>
        <v>77160.570000000007</v>
      </c>
      <c r="N15" s="34">
        <v>62571.95</v>
      </c>
      <c r="O15" s="34">
        <f t="shared" si="7"/>
        <v>62571.95</v>
      </c>
      <c r="P15" s="35">
        <f t="shared" si="12"/>
        <v>345517.75000000006</v>
      </c>
      <c r="Q15" s="34"/>
      <c r="R15" s="34"/>
      <c r="S15" s="34">
        <f t="shared" si="0"/>
        <v>0</v>
      </c>
      <c r="T15" s="35">
        <f t="shared" si="13"/>
        <v>0</v>
      </c>
      <c r="U15" s="34"/>
      <c r="V15" s="34"/>
      <c r="W15" s="34">
        <f t="shared" si="1"/>
        <v>0</v>
      </c>
      <c r="X15" s="35">
        <f t="shared" si="14"/>
        <v>0</v>
      </c>
      <c r="Y15" s="34"/>
      <c r="Z15" s="34">
        <f t="shared" si="2"/>
        <v>0</v>
      </c>
      <c r="AA15" s="35">
        <f t="shared" si="15"/>
        <v>0</v>
      </c>
      <c r="AB15" s="34"/>
      <c r="AC15" s="34">
        <f t="shared" si="3"/>
        <v>0</v>
      </c>
      <c r="AD15" s="35">
        <f t="shared" si="16"/>
        <v>0</v>
      </c>
      <c r="AE15" s="39">
        <f t="shared" si="8"/>
        <v>139325.4</v>
      </c>
      <c r="AF15" s="40">
        <f t="shared" si="18"/>
        <v>1167512.4899999998</v>
      </c>
      <c r="AG15" s="39">
        <v>94669.97</v>
      </c>
      <c r="AH15" s="41">
        <f t="shared" si="19"/>
        <v>943607.58</v>
      </c>
      <c r="AI15" s="39">
        <f t="shared" si="9"/>
        <v>-44655.429999999993</v>
      </c>
      <c r="AJ15" s="41">
        <f t="shared" si="20"/>
        <v>-223904.90999999997</v>
      </c>
    </row>
    <row r="16" spans="1:36" x14ac:dyDescent="0.3">
      <c r="A16" s="31" t="s">
        <v>11</v>
      </c>
      <c r="B16" s="32">
        <v>46093</v>
      </c>
      <c r="C16" s="34">
        <v>24563</v>
      </c>
      <c r="D16" s="34">
        <v>0</v>
      </c>
      <c r="E16" s="34">
        <f t="shared" si="4"/>
        <v>24563</v>
      </c>
      <c r="F16" s="35">
        <f t="shared" si="10"/>
        <v>337669.99</v>
      </c>
      <c r="G16" s="34">
        <v>54115.39</v>
      </c>
      <c r="H16" s="34">
        <v>531.95000000000005</v>
      </c>
      <c r="I16" s="34">
        <f t="shared" si="5"/>
        <v>54647.34</v>
      </c>
      <c r="J16" s="35">
        <f t="shared" si="17"/>
        <v>486374.5199999999</v>
      </c>
      <c r="K16" s="34">
        <v>5084.8900000000003</v>
      </c>
      <c r="L16" s="34">
        <f t="shared" si="6"/>
        <v>5084.8900000000003</v>
      </c>
      <c r="M16" s="35">
        <f t="shared" si="11"/>
        <v>82245.460000000006</v>
      </c>
      <c r="N16" s="34">
        <v>25384</v>
      </c>
      <c r="O16" s="34">
        <f t="shared" si="7"/>
        <v>25384</v>
      </c>
      <c r="P16" s="35">
        <f t="shared" si="12"/>
        <v>370901.75000000006</v>
      </c>
      <c r="Q16" s="34"/>
      <c r="R16" s="34"/>
      <c r="S16" s="34">
        <f t="shared" si="0"/>
        <v>0</v>
      </c>
      <c r="T16" s="35">
        <f t="shared" si="13"/>
        <v>0</v>
      </c>
      <c r="U16" s="34"/>
      <c r="V16" s="34"/>
      <c r="W16" s="34">
        <f t="shared" si="1"/>
        <v>0</v>
      </c>
      <c r="X16" s="35">
        <f t="shared" si="14"/>
        <v>0</v>
      </c>
      <c r="Y16" s="34"/>
      <c r="Z16" s="34">
        <f t="shared" si="2"/>
        <v>0</v>
      </c>
      <c r="AA16" s="35">
        <f t="shared" si="15"/>
        <v>0</v>
      </c>
      <c r="AB16" s="34"/>
      <c r="AC16" s="34">
        <f t="shared" si="3"/>
        <v>0</v>
      </c>
      <c r="AD16" s="35">
        <f t="shared" si="16"/>
        <v>0</v>
      </c>
      <c r="AE16" s="39">
        <f t="shared" si="8"/>
        <v>109679.23</v>
      </c>
      <c r="AF16" s="40">
        <f t="shared" si="18"/>
        <v>1277191.7199999997</v>
      </c>
      <c r="AG16" s="39">
        <v>85144.89</v>
      </c>
      <c r="AH16" s="41">
        <f t="shared" si="19"/>
        <v>1028752.47</v>
      </c>
      <c r="AI16" s="39">
        <f t="shared" si="9"/>
        <v>-24534.339999999997</v>
      </c>
      <c r="AJ16" s="41">
        <f t="shared" si="20"/>
        <v>-248439.24999999997</v>
      </c>
    </row>
    <row r="17" spans="1:36" x14ac:dyDescent="0.3">
      <c r="A17" s="31" t="s">
        <v>12</v>
      </c>
      <c r="B17" s="32">
        <v>46094</v>
      </c>
      <c r="C17" s="34">
        <v>24570.89</v>
      </c>
      <c r="D17" s="34">
        <v>0</v>
      </c>
      <c r="E17" s="34">
        <f t="shared" si="4"/>
        <v>24570.89</v>
      </c>
      <c r="F17" s="35">
        <f t="shared" si="10"/>
        <v>362240.88</v>
      </c>
      <c r="G17" s="34">
        <v>59304.89</v>
      </c>
      <c r="H17" s="34">
        <v>0</v>
      </c>
      <c r="I17" s="34">
        <f t="shared" si="5"/>
        <v>59304.89</v>
      </c>
      <c r="J17" s="35">
        <f t="shared" si="17"/>
        <v>545679.40999999992</v>
      </c>
      <c r="K17" s="34">
        <v>8262.7800000000007</v>
      </c>
      <c r="L17" s="34">
        <f t="shared" si="6"/>
        <v>8262.7800000000007</v>
      </c>
      <c r="M17" s="35">
        <f t="shared" si="11"/>
        <v>90508.24</v>
      </c>
      <c r="N17" s="34">
        <v>26408.560000000001</v>
      </c>
      <c r="O17" s="34">
        <f t="shared" si="7"/>
        <v>26408.560000000001</v>
      </c>
      <c r="P17" s="35">
        <f t="shared" si="12"/>
        <v>397310.31000000006</v>
      </c>
      <c r="Q17" s="34"/>
      <c r="R17" s="34"/>
      <c r="S17" s="34">
        <f t="shared" si="0"/>
        <v>0</v>
      </c>
      <c r="T17" s="35">
        <f t="shared" si="13"/>
        <v>0</v>
      </c>
      <c r="U17" s="34"/>
      <c r="V17" s="34"/>
      <c r="W17" s="34">
        <f t="shared" si="1"/>
        <v>0</v>
      </c>
      <c r="X17" s="35">
        <f t="shared" si="14"/>
        <v>0</v>
      </c>
      <c r="Y17" s="34"/>
      <c r="Z17" s="34">
        <f t="shared" si="2"/>
        <v>0</v>
      </c>
      <c r="AA17" s="35">
        <f t="shared" si="15"/>
        <v>0</v>
      </c>
      <c r="AB17" s="34"/>
      <c r="AC17" s="34">
        <f t="shared" si="3"/>
        <v>0</v>
      </c>
      <c r="AD17" s="35">
        <f t="shared" si="16"/>
        <v>0</v>
      </c>
      <c r="AE17" s="39">
        <f t="shared" si="8"/>
        <v>118547.12</v>
      </c>
      <c r="AF17" s="40">
        <f t="shared" si="18"/>
        <v>1395738.8399999999</v>
      </c>
      <c r="AG17" s="39">
        <v>94452.55</v>
      </c>
      <c r="AH17" s="41">
        <f t="shared" si="19"/>
        <v>1123205.02</v>
      </c>
      <c r="AI17" s="39">
        <f t="shared" si="9"/>
        <v>-24094.569999999992</v>
      </c>
      <c r="AJ17" s="41">
        <f t="shared" si="20"/>
        <v>-272533.81999999995</v>
      </c>
    </row>
    <row r="18" spans="1:36" x14ac:dyDescent="0.3">
      <c r="A18" s="31" t="s">
        <v>13</v>
      </c>
      <c r="B18" s="32">
        <v>46095</v>
      </c>
      <c r="C18" s="34">
        <v>14308.89</v>
      </c>
      <c r="D18" s="34">
        <v>0</v>
      </c>
      <c r="E18" s="34">
        <f t="shared" si="4"/>
        <v>14308.89</v>
      </c>
      <c r="F18" s="35">
        <f t="shared" si="10"/>
        <v>376549.77</v>
      </c>
      <c r="G18" s="34">
        <v>51980</v>
      </c>
      <c r="H18" s="34">
        <v>0</v>
      </c>
      <c r="I18" s="34">
        <f t="shared" si="5"/>
        <v>51980</v>
      </c>
      <c r="J18" s="35">
        <f t="shared" si="17"/>
        <v>597659.40999999992</v>
      </c>
      <c r="K18" s="34">
        <v>6220.5</v>
      </c>
      <c r="L18" s="34">
        <f t="shared" si="6"/>
        <v>6220.5</v>
      </c>
      <c r="M18" s="35">
        <f t="shared" si="11"/>
        <v>96728.74</v>
      </c>
      <c r="N18" s="34">
        <v>23334.39</v>
      </c>
      <c r="O18" s="34">
        <f t="shared" si="7"/>
        <v>23334.39</v>
      </c>
      <c r="P18" s="35">
        <f t="shared" si="12"/>
        <v>420644.70000000007</v>
      </c>
      <c r="Q18" s="34">
        <v>0</v>
      </c>
      <c r="R18" s="34">
        <v>0</v>
      </c>
      <c r="S18" s="34">
        <f t="shared" si="0"/>
        <v>0</v>
      </c>
      <c r="T18" s="35">
        <f t="shared" si="13"/>
        <v>0</v>
      </c>
      <c r="U18" s="34"/>
      <c r="V18" s="34"/>
      <c r="W18" s="34">
        <f t="shared" si="1"/>
        <v>0</v>
      </c>
      <c r="X18" s="35">
        <f t="shared" si="14"/>
        <v>0</v>
      </c>
      <c r="Y18" s="34">
        <v>0</v>
      </c>
      <c r="Z18" s="34">
        <f t="shared" si="2"/>
        <v>0</v>
      </c>
      <c r="AA18" s="35">
        <f t="shared" si="15"/>
        <v>0</v>
      </c>
      <c r="AB18" s="34">
        <v>0</v>
      </c>
      <c r="AC18" s="34">
        <f t="shared" si="3"/>
        <v>0</v>
      </c>
      <c r="AD18" s="35">
        <f t="shared" si="16"/>
        <v>0</v>
      </c>
      <c r="AE18" s="39">
        <f t="shared" si="8"/>
        <v>95843.78</v>
      </c>
      <c r="AF18" s="40">
        <f t="shared" si="18"/>
        <v>1491582.6199999999</v>
      </c>
      <c r="AG18" s="39">
        <v>0</v>
      </c>
      <c r="AH18" s="41">
        <f t="shared" si="19"/>
        <v>1123205.02</v>
      </c>
      <c r="AI18" s="39">
        <f t="shared" si="9"/>
        <v>-95843.78</v>
      </c>
      <c r="AJ18" s="41">
        <f t="shared" si="20"/>
        <v>-368377.59999999998</v>
      </c>
    </row>
    <row r="19" spans="1:36" x14ac:dyDescent="0.3">
      <c r="A19" s="31" t="s">
        <v>7</v>
      </c>
      <c r="B19" s="32">
        <v>46096</v>
      </c>
      <c r="C19" s="34">
        <v>8123</v>
      </c>
      <c r="D19" s="34">
        <v>0</v>
      </c>
      <c r="E19" s="34">
        <f t="shared" si="4"/>
        <v>8123</v>
      </c>
      <c r="F19" s="35">
        <f t="shared" si="10"/>
        <v>384672.77</v>
      </c>
      <c r="G19" s="34">
        <v>0</v>
      </c>
      <c r="H19" s="34">
        <v>0</v>
      </c>
      <c r="I19" s="34">
        <f t="shared" si="5"/>
        <v>0</v>
      </c>
      <c r="J19" s="35">
        <f t="shared" si="17"/>
        <v>597659.40999999992</v>
      </c>
      <c r="K19" s="34">
        <v>0</v>
      </c>
      <c r="L19" s="34">
        <f t="shared" si="6"/>
        <v>0</v>
      </c>
      <c r="M19" s="35">
        <f t="shared" si="11"/>
        <v>96728.74</v>
      </c>
      <c r="N19" s="34">
        <v>1376.39</v>
      </c>
      <c r="O19" s="34">
        <f t="shared" si="7"/>
        <v>1376.39</v>
      </c>
      <c r="P19" s="35">
        <f t="shared" si="12"/>
        <v>422021.09000000008</v>
      </c>
      <c r="Q19" s="34"/>
      <c r="R19" s="34"/>
      <c r="S19" s="34">
        <f t="shared" si="0"/>
        <v>0</v>
      </c>
      <c r="T19" s="35">
        <f t="shared" si="13"/>
        <v>0</v>
      </c>
      <c r="U19" s="34"/>
      <c r="V19" s="34"/>
      <c r="W19" s="34">
        <f t="shared" si="1"/>
        <v>0</v>
      </c>
      <c r="X19" s="35">
        <f t="shared" si="14"/>
        <v>0</v>
      </c>
      <c r="Y19" s="34">
        <v>0</v>
      </c>
      <c r="Z19" s="34">
        <f t="shared" si="2"/>
        <v>0</v>
      </c>
      <c r="AA19" s="35">
        <f t="shared" si="15"/>
        <v>0</v>
      </c>
      <c r="AB19" s="34">
        <v>0</v>
      </c>
      <c r="AC19" s="34">
        <f t="shared" si="3"/>
        <v>0</v>
      </c>
      <c r="AD19" s="35">
        <f t="shared" si="16"/>
        <v>0</v>
      </c>
      <c r="AE19" s="39">
        <f t="shared" si="8"/>
        <v>9499.39</v>
      </c>
      <c r="AF19" s="40">
        <f t="shared" si="18"/>
        <v>1501082.0099999998</v>
      </c>
      <c r="AG19" s="39">
        <v>0</v>
      </c>
      <c r="AH19" s="41">
        <f t="shared" si="19"/>
        <v>1123205.02</v>
      </c>
      <c r="AI19" s="39">
        <f t="shared" si="9"/>
        <v>-9499.39</v>
      </c>
      <c r="AJ19" s="41">
        <f t="shared" si="20"/>
        <v>-377876.99</v>
      </c>
    </row>
    <row r="20" spans="1:36" x14ac:dyDescent="0.3">
      <c r="A20" s="31" t="s">
        <v>8</v>
      </c>
      <c r="B20" s="32">
        <v>46097</v>
      </c>
      <c r="C20" s="34">
        <v>12701</v>
      </c>
      <c r="D20" s="34">
        <v>22296.75</v>
      </c>
      <c r="E20" s="34">
        <f t="shared" si="4"/>
        <v>34997.75</v>
      </c>
      <c r="F20" s="35">
        <f t="shared" si="10"/>
        <v>419670.52</v>
      </c>
      <c r="G20" s="34">
        <v>41431.5</v>
      </c>
      <c r="H20" s="38">
        <v>638.34</v>
      </c>
      <c r="I20" s="34">
        <f t="shared" si="5"/>
        <v>42069.84</v>
      </c>
      <c r="J20" s="35">
        <f t="shared" si="17"/>
        <v>639729.24999999988</v>
      </c>
      <c r="K20" s="34">
        <v>14548</v>
      </c>
      <c r="L20" s="34">
        <f t="shared" si="6"/>
        <v>14548</v>
      </c>
      <c r="M20" s="35">
        <f t="shared" si="11"/>
        <v>111276.74</v>
      </c>
      <c r="N20" s="34">
        <v>28297.56</v>
      </c>
      <c r="O20" s="34">
        <f t="shared" si="7"/>
        <v>28297.56</v>
      </c>
      <c r="P20" s="35">
        <f t="shared" si="12"/>
        <v>450318.65000000008</v>
      </c>
      <c r="Q20" s="34">
        <f>15472.2+37025.05</f>
        <v>52497.25</v>
      </c>
      <c r="R20" s="34">
        <v>7319.11</v>
      </c>
      <c r="S20" s="34">
        <f t="shared" si="0"/>
        <v>59816.36</v>
      </c>
      <c r="T20" s="35">
        <f t="shared" si="13"/>
        <v>59816.36</v>
      </c>
      <c r="U20" s="34">
        <f>24549.27+21935.5+636</f>
        <v>47120.770000000004</v>
      </c>
      <c r="V20" s="34">
        <f>851.12+7500</f>
        <v>8351.1200000000008</v>
      </c>
      <c r="W20" s="34">
        <f>SUM(U20:V20)</f>
        <v>55471.890000000007</v>
      </c>
      <c r="X20" s="35">
        <f t="shared" si="14"/>
        <v>55471.890000000007</v>
      </c>
      <c r="Y20" s="34">
        <v>18412.240000000002</v>
      </c>
      <c r="Z20" s="34">
        <f>SUM(Y20)</f>
        <v>18412.240000000002</v>
      </c>
      <c r="AA20" s="35">
        <f t="shared" si="15"/>
        <v>18412.240000000002</v>
      </c>
      <c r="AB20" s="34">
        <v>44982.27</v>
      </c>
      <c r="AC20" s="34">
        <f>SUM(AB20)</f>
        <v>44982.27</v>
      </c>
      <c r="AD20" s="35">
        <f t="shared" si="16"/>
        <v>44982.27</v>
      </c>
      <c r="AE20" s="39">
        <f t="shared" si="8"/>
        <v>119913.15</v>
      </c>
      <c r="AF20" s="40">
        <f t="shared" si="18"/>
        <v>1620995.1599999997</v>
      </c>
      <c r="AG20" s="39">
        <f>S20+W20+Z20+AC20</f>
        <v>178682.75999999998</v>
      </c>
      <c r="AH20" s="41">
        <f t="shared" si="19"/>
        <v>1301887.78</v>
      </c>
      <c r="AI20" s="39">
        <f t="shared" si="9"/>
        <v>58769.609999999986</v>
      </c>
      <c r="AJ20" s="41">
        <f t="shared" si="20"/>
        <v>-319107.38</v>
      </c>
    </row>
    <row r="21" spans="1:36" x14ac:dyDescent="0.3">
      <c r="A21" s="31" t="s">
        <v>9</v>
      </c>
      <c r="B21" s="32">
        <v>46098</v>
      </c>
      <c r="C21" s="34">
        <v>25373.5</v>
      </c>
      <c r="D21" s="34">
        <v>8377.57</v>
      </c>
      <c r="E21" s="34">
        <f t="shared" si="4"/>
        <v>33751.07</v>
      </c>
      <c r="F21" s="35">
        <f t="shared" si="10"/>
        <v>453421.59</v>
      </c>
      <c r="G21" s="34">
        <v>57342.71</v>
      </c>
      <c r="H21" s="34">
        <v>8402.33</v>
      </c>
      <c r="I21" s="34">
        <f t="shared" si="5"/>
        <v>65745.039999999994</v>
      </c>
      <c r="J21" s="35">
        <f t="shared" si="17"/>
        <v>705474.28999999992</v>
      </c>
      <c r="K21" s="34">
        <v>6292.89</v>
      </c>
      <c r="L21" s="34">
        <f t="shared" si="6"/>
        <v>6292.89</v>
      </c>
      <c r="M21" s="35">
        <f t="shared" si="11"/>
        <v>117569.63</v>
      </c>
      <c r="N21" s="34">
        <v>21708.95</v>
      </c>
      <c r="O21" s="34">
        <f t="shared" si="7"/>
        <v>21708.95</v>
      </c>
      <c r="P21" s="35">
        <f t="shared" si="12"/>
        <v>472027.60000000009</v>
      </c>
      <c r="Q21" s="34">
        <f>5017.51+27553.09</f>
        <v>32570.6</v>
      </c>
      <c r="R21" s="34">
        <v>2159.64</v>
      </c>
      <c r="S21" s="34">
        <f>SUM(Q21:R21)</f>
        <v>34730.239999999998</v>
      </c>
      <c r="T21" s="35">
        <f t="shared" si="13"/>
        <v>94546.6</v>
      </c>
      <c r="U21" s="34">
        <f>7485.54+15744</f>
        <v>23229.54</v>
      </c>
      <c r="V21" s="34">
        <v>425.56</v>
      </c>
      <c r="W21" s="34">
        <f>SUM(U21:V21)</f>
        <v>23655.100000000002</v>
      </c>
      <c r="X21" s="35">
        <f t="shared" si="14"/>
        <v>79126.990000000005</v>
      </c>
      <c r="Y21" s="34">
        <v>8972.0300000000007</v>
      </c>
      <c r="Z21" s="34">
        <f>SUM(Y21)</f>
        <v>8972.0300000000007</v>
      </c>
      <c r="AA21" s="35">
        <f t="shared" si="15"/>
        <v>27384.270000000004</v>
      </c>
      <c r="AB21" s="34">
        <v>45808.58</v>
      </c>
      <c r="AC21" s="34">
        <f>SUM(AB21)</f>
        <v>45808.58</v>
      </c>
      <c r="AD21" s="35">
        <f t="shared" si="16"/>
        <v>90790.85</v>
      </c>
      <c r="AE21" s="39">
        <f t="shared" si="8"/>
        <v>127497.94999999998</v>
      </c>
      <c r="AF21" s="40">
        <f t="shared" si="18"/>
        <v>1748493.1099999996</v>
      </c>
      <c r="AG21" s="39">
        <f>S21+W21+Z21+AC21</f>
        <v>113165.95</v>
      </c>
      <c r="AH21" s="41">
        <f t="shared" si="19"/>
        <v>1415053.73</v>
      </c>
      <c r="AI21" s="39">
        <f t="shared" si="9"/>
        <v>-14331.999999999985</v>
      </c>
      <c r="AJ21" s="41">
        <f t="shared" si="20"/>
        <v>-333439.38</v>
      </c>
    </row>
    <row r="22" spans="1:36" x14ac:dyDescent="0.3">
      <c r="A22" s="31" t="s">
        <v>10</v>
      </c>
      <c r="B22" s="32">
        <v>46099</v>
      </c>
      <c r="C22" s="34">
        <v>24587.58</v>
      </c>
      <c r="D22" s="38"/>
      <c r="E22" s="34">
        <f t="shared" si="4"/>
        <v>24587.58</v>
      </c>
      <c r="F22" s="35">
        <f t="shared" si="10"/>
        <v>478009.17000000004</v>
      </c>
      <c r="G22" s="34">
        <v>23279.78</v>
      </c>
      <c r="H22" s="34">
        <v>7577.78</v>
      </c>
      <c r="I22" s="34">
        <f t="shared" si="5"/>
        <v>30857.559999999998</v>
      </c>
      <c r="J22" s="35">
        <f t="shared" si="17"/>
        <v>736331.84999999986</v>
      </c>
      <c r="K22" s="38"/>
      <c r="L22" s="34">
        <f t="shared" si="6"/>
        <v>0</v>
      </c>
      <c r="M22" s="35">
        <f t="shared" si="11"/>
        <v>117569.63</v>
      </c>
      <c r="N22" s="34">
        <v>18159.34</v>
      </c>
      <c r="O22" s="34">
        <f t="shared" si="7"/>
        <v>18159.34</v>
      </c>
      <c r="P22" s="35">
        <f t="shared" si="12"/>
        <v>490186.94000000012</v>
      </c>
      <c r="Q22" s="34"/>
      <c r="R22" s="34"/>
      <c r="S22" s="34"/>
      <c r="T22" s="35"/>
      <c r="U22" s="34"/>
      <c r="V22" s="34"/>
      <c r="W22" s="34"/>
      <c r="X22" s="35"/>
      <c r="Y22" s="34"/>
      <c r="Z22" s="34"/>
      <c r="AA22" s="34"/>
      <c r="AB22" s="34"/>
      <c r="AC22" s="34"/>
      <c r="AD22" s="34"/>
      <c r="AE22" s="39"/>
      <c r="AF22" s="39"/>
      <c r="AG22" s="39"/>
      <c r="AH22" s="39"/>
      <c r="AI22" s="39"/>
      <c r="AJ22" s="42"/>
    </row>
    <row r="23" spans="1:36" x14ac:dyDescent="0.3">
      <c r="A23" s="31" t="s">
        <v>11</v>
      </c>
      <c r="B23" s="32">
        <v>46100</v>
      </c>
      <c r="C23" s="34"/>
      <c r="D23" s="38"/>
      <c r="E23" s="34"/>
      <c r="F23" s="34"/>
      <c r="G23" s="38"/>
      <c r="H23" s="38"/>
      <c r="I23" s="34"/>
      <c r="J23" s="34"/>
      <c r="K23" s="38"/>
      <c r="L23" s="38"/>
      <c r="M23" s="38"/>
      <c r="N23" s="38"/>
      <c r="O23" s="38"/>
      <c r="P23" s="38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9"/>
      <c r="AF23" s="39"/>
      <c r="AG23" s="39"/>
      <c r="AH23" s="39"/>
      <c r="AI23" s="39"/>
      <c r="AJ23" s="42"/>
    </row>
    <row r="24" spans="1:36" x14ac:dyDescent="0.3">
      <c r="A24" s="31" t="s">
        <v>12</v>
      </c>
      <c r="B24" s="32">
        <v>46101</v>
      </c>
      <c r="C24" s="34"/>
      <c r="D24" s="38"/>
      <c r="E24" s="34"/>
      <c r="F24" s="34"/>
      <c r="G24" s="38"/>
      <c r="H24" s="38"/>
      <c r="I24" s="34"/>
      <c r="J24" s="34"/>
      <c r="K24" s="38"/>
      <c r="L24" s="38"/>
      <c r="M24" s="38"/>
      <c r="N24" s="38"/>
      <c r="O24" s="38"/>
      <c r="P24" s="38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9"/>
      <c r="AF24" s="39"/>
      <c r="AG24" s="39"/>
      <c r="AH24" s="39"/>
      <c r="AI24" s="39"/>
      <c r="AJ24" s="42"/>
    </row>
    <row r="25" spans="1:36" x14ac:dyDescent="0.3">
      <c r="A25" s="31" t="s">
        <v>13</v>
      </c>
      <c r="B25" s="32">
        <v>46102</v>
      </c>
      <c r="C25" s="34"/>
      <c r="D25" s="38"/>
      <c r="E25" s="34"/>
      <c r="F25" s="34"/>
      <c r="G25" s="38"/>
      <c r="H25" s="38"/>
      <c r="I25" s="34"/>
      <c r="J25" s="34"/>
      <c r="K25" s="38"/>
      <c r="L25" s="38"/>
      <c r="M25" s="38"/>
      <c r="N25" s="38"/>
      <c r="O25" s="38"/>
      <c r="P25" s="38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9"/>
      <c r="AF25" s="39"/>
      <c r="AG25" s="39"/>
      <c r="AH25" s="39"/>
      <c r="AI25" s="39"/>
      <c r="AJ25" s="42"/>
    </row>
    <row r="26" spans="1:36" x14ac:dyDescent="0.3">
      <c r="A26" s="31" t="s">
        <v>7</v>
      </c>
      <c r="B26" s="32">
        <v>46103</v>
      </c>
      <c r="C26" s="34"/>
      <c r="D26" s="38"/>
      <c r="E26" s="34"/>
      <c r="F26" s="34"/>
      <c r="G26" s="38"/>
      <c r="H26" s="38"/>
      <c r="I26" s="34"/>
      <c r="J26" s="34"/>
      <c r="K26" s="38"/>
      <c r="L26" s="38"/>
      <c r="M26" s="38"/>
      <c r="N26" s="38"/>
      <c r="O26" s="38"/>
      <c r="P26" s="38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9"/>
      <c r="AF26" s="39"/>
      <c r="AG26" s="39"/>
      <c r="AH26" s="39"/>
      <c r="AI26" s="39"/>
      <c r="AJ26" s="42"/>
    </row>
    <row r="27" spans="1:36" x14ac:dyDescent="0.3">
      <c r="A27" s="31" t="s">
        <v>8</v>
      </c>
      <c r="B27" s="32">
        <v>46104</v>
      </c>
      <c r="C27" s="34"/>
      <c r="D27" s="38"/>
      <c r="E27" s="34"/>
      <c r="F27" s="34"/>
      <c r="G27" s="38"/>
      <c r="H27" s="38"/>
      <c r="I27" s="34"/>
      <c r="J27" s="34"/>
      <c r="K27" s="38"/>
      <c r="L27" s="38"/>
      <c r="M27" s="38"/>
      <c r="N27" s="38"/>
      <c r="O27" s="38"/>
      <c r="P27" s="38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9"/>
      <c r="AF27" s="39"/>
      <c r="AG27" s="39"/>
      <c r="AH27" s="39"/>
      <c r="AI27" s="39"/>
      <c r="AJ27" s="42"/>
    </row>
    <row r="28" spans="1:36" x14ac:dyDescent="0.3">
      <c r="A28" s="31" t="s">
        <v>9</v>
      </c>
      <c r="B28" s="32">
        <v>46105</v>
      </c>
      <c r="C28" s="34"/>
      <c r="D28" s="38"/>
      <c r="E28" s="34"/>
      <c r="F28" s="34"/>
      <c r="G28" s="38"/>
      <c r="H28" s="38"/>
      <c r="I28" s="34"/>
      <c r="J28" s="34"/>
      <c r="K28" s="38"/>
      <c r="L28" s="38"/>
      <c r="M28" s="38"/>
      <c r="N28" s="38"/>
      <c r="O28" s="38"/>
      <c r="P28" s="38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9"/>
      <c r="AF28" s="39"/>
      <c r="AG28" s="39"/>
      <c r="AH28" s="39"/>
      <c r="AI28" s="39"/>
      <c r="AJ28" s="42"/>
    </row>
    <row r="29" spans="1:36" x14ac:dyDescent="0.3">
      <c r="A29" s="31" t="s">
        <v>10</v>
      </c>
      <c r="B29" s="32">
        <v>46106</v>
      </c>
      <c r="C29" s="34"/>
      <c r="D29" s="38"/>
      <c r="E29" s="34"/>
      <c r="F29" s="34"/>
      <c r="G29" s="38"/>
      <c r="H29" s="38"/>
      <c r="I29" s="34"/>
      <c r="J29" s="34"/>
      <c r="K29" s="38"/>
      <c r="L29" s="38"/>
      <c r="M29" s="38"/>
      <c r="N29" s="38"/>
      <c r="O29" s="38"/>
      <c r="P29" s="38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9"/>
      <c r="AF29" s="39"/>
      <c r="AG29" s="39"/>
      <c r="AH29" s="39"/>
      <c r="AI29" s="39"/>
      <c r="AJ29" s="42"/>
    </row>
    <row r="30" spans="1:36" x14ac:dyDescent="0.3">
      <c r="A30" s="31" t="s">
        <v>11</v>
      </c>
      <c r="B30" s="32">
        <v>46107</v>
      </c>
      <c r="C30" s="34"/>
      <c r="D30" s="38"/>
      <c r="E30" s="34"/>
      <c r="F30" s="34"/>
      <c r="G30" s="38"/>
      <c r="H30" s="38"/>
      <c r="I30" s="34"/>
      <c r="J30" s="34"/>
      <c r="K30" s="38"/>
      <c r="L30" s="38"/>
      <c r="M30" s="38"/>
      <c r="N30" s="38"/>
      <c r="O30" s="38"/>
      <c r="P30" s="38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9"/>
      <c r="AF30" s="39"/>
      <c r="AG30" s="39"/>
      <c r="AH30" s="39"/>
      <c r="AI30" s="39"/>
      <c r="AJ30" s="42"/>
    </row>
    <row r="31" spans="1:36" x14ac:dyDescent="0.3">
      <c r="A31" s="31" t="s">
        <v>12</v>
      </c>
      <c r="B31" s="32">
        <v>46108</v>
      </c>
      <c r="C31" s="34"/>
      <c r="D31" s="38"/>
      <c r="E31" s="34"/>
      <c r="F31" s="34"/>
      <c r="G31" s="38"/>
      <c r="H31" s="38"/>
      <c r="I31" s="34"/>
      <c r="J31" s="34"/>
      <c r="K31" s="38"/>
      <c r="L31" s="38"/>
      <c r="M31" s="38"/>
      <c r="N31" s="38"/>
      <c r="O31" s="38"/>
      <c r="P31" s="38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9"/>
      <c r="AF31" s="39"/>
      <c r="AG31" s="39"/>
      <c r="AH31" s="39"/>
      <c r="AI31" s="39"/>
      <c r="AJ31" s="42"/>
    </row>
    <row r="32" spans="1:36" x14ac:dyDescent="0.3">
      <c r="A32" s="31" t="s">
        <v>13</v>
      </c>
      <c r="B32" s="32">
        <v>46109</v>
      </c>
      <c r="C32" s="34"/>
      <c r="D32" s="38"/>
      <c r="E32" s="34"/>
      <c r="F32" s="34"/>
      <c r="G32" s="38"/>
      <c r="H32" s="38"/>
      <c r="I32" s="34"/>
      <c r="J32" s="34"/>
      <c r="K32" s="38"/>
      <c r="L32" s="38"/>
      <c r="M32" s="38"/>
      <c r="N32" s="38"/>
      <c r="O32" s="38"/>
      <c r="P32" s="38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9"/>
      <c r="AF32" s="39"/>
      <c r="AG32" s="39"/>
      <c r="AH32" s="39"/>
      <c r="AI32" s="39"/>
      <c r="AJ32" s="42"/>
    </row>
    <row r="33" spans="1:36" x14ac:dyDescent="0.3">
      <c r="A33" s="31" t="s">
        <v>7</v>
      </c>
      <c r="B33" s="32">
        <v>46110</v>
      </c>
      <c r="C33" s="34"/>
      <c r="D33" s="38"/>
      <c r="E33" s="34"/>
      <c r="F33" s="34"/>
      <c r="G33" s="38"/>
      <c r="H33" s="38"/>
      <c r="I33" s="34"/>
      <c r="J33" s="34"/>
      <c r="K33" s="38"/>
      <c r="L33" s="38"/>
      <c r="M33" s="38"/>
      <c r="N33" s="38"/>
      <c r="O33" s="38"/>
      <c r="P33" s="38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9"/>
      <c r="AF33" s="39"/>
      <c r="AG33" s="39"/>
      <c r="AH33" s="39"/>
      <c r="AI33" s="39"/>
      <c r="AJ33" s="42"/>
    </row>
    <row r="34" spans="1:36" x14ac:dyDescent="0.3">
      <c r="A34" s="31" t="s">
        <v>8</v>
      </c>
      <c r="B34" s="32">
        <v>46111</v>
      </c>
      <c r="C34" s="34"/>
      <c r="D34" s="38"/>
      <c r="E34" s="34"/>
      <c r="F34" s="34"/>
      <c r="G34" s="38"/>
      <c r="H34" s="38"/>
      <c r="I34" s="34"/>
      <c r="J34" s="34"/>
      <c r="K34" s="38"/>
      <c r="L34" s="38"/>
      <c r="M34" s="38"/>
      <c r="N34" s="38"/>
      <c r="O34" s="38"/>
      <c r="P34" s="38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9"/>
      <c r="AF34" s="39"/>
      <c r="AG34" s="39"/>
      <c r="AH34" s="39"/>
      <c r="AI34" s="39"/>
      <c r="AJ34" s="42"/>
    </row>
    <row r="35" spans="1:36" x14ac:dyDescent="0.3">
      <c r="A35" s="31" t="s">
        <v>9</v>
      </c>
      <c r="B35" s="32">
        <v>46112</v>
      </c>
      <c r="C35" s="34"/>
      <c r="D35" s="38"/>
      <c r="E35" s="34"/>
      <c r="F35" s="34"/>
      <c r="G35" s="38"/>
      <c r="H35" s="38"/>
      <c r="I35" s="34"/>
      <c r="J35" s="34"/>
      <c r="K35" s="38"/>
      <c r="L35" s="38"/>
      <c r="M35" s="38"/>
      <c r="N35" s="38"/>
      <c r="O35" s="38"/>
      <c r="P35" s="38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9"/>
      <c r="AF35" s="39"/>
      <c r="AG35" s="39"/>
      <c r="AH35" s="39"/>
      <c r="AI35" s="39"/>
      <c r="AJ35" s="42"/>
    </row>
    <row r="36" spans="1:36" x14ac:dyDescent="0.3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</sheetData>
  <mergeCells count="17">
    <mergeCell ref="AI3:AI4"/>
    <mergeCell ref="E2:P2"/>
    <mergeCell ref="S2:AD2"/>
    <mergeCell ref="AE2:AJ2"/>
    <mergeCell ref="C3:F3"/>
    <mergeCell ref="G3:J3"/>
    <mergeCell ref="K3:M3"/>
    <mergeCell ref="N3:P3"/>
    <mergeCell ref="Q3:T3"/>
    <mergeCell ref="U3:X3"/>
    <mergeCell ref="Y3:AA3"/>
    <mergeCell ref="AJ3:AJ4"/>
    <mergeCell ref="AB3:AD3"/>
    <mergeCell ref="AE3:AE4"/>
    <mergeCell ref="AF3:AF4"/>
    <mergeCell ref="AG3:AG4"/>
    <mergeCell ref="AH3:AH4"/>
  </mergeCells>
  <pageMargins left="0.511811024" right="0.511811024" top="0.78740157499999996" bottom="0.78740157499999996" header="0.31496062000000002" footer="0.31496062000000002"/>
  <pageSetup paperSize="9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EDE5-B948-4557-8CF0-98D2C774F555}">
  <dimension ref="A1:P35"/>
  <sheetViews>
    <sheetView showGridLines="0" workbookViewId="0">
      <pane ySplit="3" topLeftCell="A4" activePane="bottomLeft" state="frozen"/>
      <selection pane="bottomLeft" activeCell="E12" sqref="E12"/>
    </sheetView>
  </sheetViews>
  <sheetFormatPr defaultRowHeight="14.4" outlineLevelCol="1" x14ac:dyDescent="0.3"/>
  <cols>
    <col min="1" max="1" width="5" customWidth="1"/>
    <col min="2" max="2" width="5.5546875" customWidth="1"/>
    <col min="3" max="4" width="8.88671875" customWidth="1" outlineLevel="1"/>
    <col min="6" max="6" width="10.44140625" customWidth="1"/>
    <col min="7" max="7" width="9.109375" bestFit="1" customWidth="1" outlineLevel="1"/>
    <col min="8" max="8" width="9.44140625" customWidth="1" outlineLevel="1"/>
    <col min="10" max="10" width="10" bestFit="1" customWidth="1"/>
    <col min="11" max="11" width="14.21875" customWidth="1"/>
    <col min="12" max="12" width="13" customWidth="1"/>
    <col min="13" max="13" width="14.21875" customWidth="1"/>
    <col min="14" max="14" width="11.44140625" customWidth="1"/>
    <col min="15" max="15" width="10.77734375" bestFit="1" customWidth="1"/>
    <col min="16" max="16" width="15.21875" customWidth="1"/>
  </cols>
  <sheetData>
    <row r="1" spans="1:16" ht="9" customHeight="1" x14ac:dyDescent="0.3"/>
    <row r="2" spans="1:16" ht="21" x14ac:dyDescent="0.4">
      <c r="C2" s="81" t="s">
        <v>2</v>
      </c>
      <c r="D2" s="82"/>
      <c r="E2" s="82"/>
      <c r="F2" s="82"/>
      <c r="G2" s="83" t="s">
        <v>3</v>
      </c>
      <c r="H2" s="84"/>
      <c r="I2" s="84"/>
      <c r="J2" s="84"/>
      <c r="K2" s="78" t="s">
        <v>15</v>
      </c>
      <c r="L2" s="79"/>
      <c r="M2" s="79"/>
      <c r="N2" s="79"/>
      <c r="O2" s="79"/>
      <c r="P2" s="80"/>
    </row>
    <row r="3" spans="1:16" ht="26.4" x14ac:dyDescent="0.3">
      <c r="B3" s="10" t="s">
        <v>32</v>
      </c>
      <c r="C3" s="16" t="s">
        <v>5</v>
      </c>
      <c r="D3" s="16" t="s">
        <v>6</v>
      </c>
      <c r="E3" s="16" t="s">
        <v>23</v>
      </c>
      <c r="F3" s="9" t="s">
        <v>22</v>
      </c>
      <c r="G3" s="15" t="s">
        <v>5</v>
      </c>
      <c r="H3" s="15" t="s">
        <v>6</v>
      </c>
      <c r="I3" s="15" t="s">
        <v>23</v>
      </c>
      <c r="J3" s="11" t="s">
        <v>22</v>
      </c>
      <c r="K3" s="20" t="s">
        <v>2</v>
      </c>
      <c r="L3" s="21" t="s">
        <v>19</v>
      </c>
      <c r="M3" s="22" t="s">
        <v>3</v>
      </c>
      <c r="N3" s="21" t="s">
        <v>21</v>
      </c>
      <c r="O3" s="12" t="s">
        <v>15</v>
      </c>
      <c r="P3" s="17" t="s">
        <v>33</v>
      </c>
    </row>
    <row r="4" spans="1:16" x14ac:dyDescent="0.3">
      <c r="A4" s="29" t="s">
        <v>7</v>
      </c>
      <c r="B4" s="30">
        <v>46082</v>
      </c>
      <c r="C4" s="27">
        <v>10905</v>
      </c>
      <c r="D4" s="23">
        <v>0</v>
      </c>
      <c r="E4" s="23">
        <f>SUM(C4:D4)</f>
        <v>10905</v>
      </c>
      <c r="F4" s="23">
        <f>E4</f>
        <v>10905</v>
      </c>
      <c r="G4" s="23">
        <v>0</v>
      </c>
      <c r="H4" s="23">
        <v>0</v>
      </c>
      <c r="I4" s="23">
        <f t="shared" ref="I4:I19" si="0">SUM(G4:H4)</f>
        <v>0</v>
      </c>
      <c r="J4" s="23">
        <f>I4</f>
        <v>0</v>
      </c>
      <c r="K4" s="23">
        <f>E4</f>
        <v>10905</v>
      </c>
      <c r="L4" s="24">
        <f>K4</f>
        <v>10905</v>
      </c>
      <c r="M4" s="23">
        <f>I4</f>
        <v>0</v>
      </c>
      <c r="N4" s="25">
        <f>M4</f>
        <v>0</v>
      </c>
      <c r="O4" s="23">
        <f>M4-K4</f>
        <v>-10905</v>
      </c>
      <c r="P4" s="25">
        <f>O4</f>
        <v>-10905</v>
      </c>
    </row>
    <row r="5" spans="1:16" x14ac:dyDescent="0.3">
      <c r="A5" s="29" t="s">
        <v>8</v>
      </c>
      <c r="B5" s="30">
        <v>46083</v>
      </c>
      <c r="C5" s="23">
        <v>30973</v>
      </c>
      <c r="D5" s="23">
        <v>0</v>
      </c>
      <c r="E5" s="23">
        <f t="shared" ref="E5:E20" si="1">SUM(C5:D5)</f>
        <v>30973</v>
      </c>
      <c r="F5" s="23">
        <f>E5+F4</f>
        <v>41878</v>
      </c>
      <c r="G5" s="23"/>
      <c r="H5" s="23"/>
      <c r="I5" s="23">
        <f t="shared" si="0"/>
        <v>0</v>
      </c>
      <c r="J5" s="23">
        <f>I5+J4</f>
        <v>0</v>
      </c>
      <c r="K5" s="23">
        <f t="shared" ref="K5:K20" si="2">E5</f>
        <v>30973</v>
      </c>
      <c r="L5" s="24">
        <f>K5+L4</f>
        <v>41878</v>
      </c>
      <c r="M5" s="23">
        <f t="shared" ref="M5:M20" si="3">I5</f>
        <v>0</v>
      </c>
      <c r="N5" s="25">
        <f>M5+N4</f>
        <v>0</v>
      </c>
      <c r="O5" s="23">
        <f t="shared" ref="O5:O20" si="4">M5-K5</f>
        <v>-30973</v>
      </c>
      <c r="P5" s="25">
        <f>O5+P4</f>
        <v>-41878</v>
      </c>
    </row>
    <row r="6" spans="1:16" x14ac:dyDescent="0.3">
      <c r="A6" s="29" t="s">
        <v>9</v>
      </c>
      <c r="B6" s="30">
        <v>46084</v>
      </c>
      <c r="C6" s="23">
        <v>30381.62</v>
      </c>
      <c r="D6" s="23">
        <v>17990</v>
      </c>
      <c r="E6" s="23">
        <f t="shared" si="1"/>
        <v>48371.619999999995</v>
      </c>
      <c r="F6" s="23">
        <f t="shared" ref="F6:F20" si="5">E6+F5</f>
        <v>90249.62</v>
      </c>
      <c r="G6" s="23"/>
      <c r="H6" s="23"/>
      <c r="I6" s="23">
        <f t="shared" si="0"/>
        <v>0</v>
      </c>
      <c r="J6" s="23">
        <f t="shared" ref="J6:J20" si="6">I6+J5</f>
        <v>0</v>
      </c>
      <c r="K6" s="23">
        <f t="shared" si="2"/>
        <v>48371.619999999995</v>
      </c>
      <c r="L6" s="24">
        <f>K6+L5</f>
        <v>90249.62</v>
      </c>
      <c r="M6" s="23">
        <f t="shared" si="3"/>
        <v>0</v>
      </c>
      <c r="N6" s="25">
        <f>M6+N5</f>
        <v>0</v>
      </c>
      <c r="O6" s="23">
        <f t="shared" si="4"/>
        <v>-48371.619999999995</v>
      </c>
      <c r="P6" s="25">
        <f>O6+P5</f>
        <v>-90249.62</v>
      </c>
    </row>
    <row r="7" spans="1:16" x14ac:dyDescent="0.3">
      <c r="A7" s="29" t="s">
        <v>10</v>
      </c>
      <c r="B7" s="30">
        <v>46085</v>
      </c>
      <c r="C7" s="23">
        <v>26375.24</v>
      </c>
      <c r="D7" s="23">
        <v>0</v>
      </c>
      <c r="E7" s="23">
        <f t="shared" si="1"/>
        <v>26375.24</v>
      </c>
      <c r="F7" s="23">
        <f t="shared" si="5"/>
        <v>116624.86</v>
      </c>
      <c r="G7" s="23"/>
      <c r="H7" s="23"/>
      <c r="I7" s="23">
        <f t="shared" si="0"/>
        <v>0</v>
      </c>
      <c r="J7" s="23">
        <f t="shared" si="6"/>
        <v>0</v>
      </c>
      <c r="K7" s="23">
        <f t="shared" si="2"/>
        <v>26375.24</v>
      </c>
      <c r="L7" s="24">
        <f t="shared" ref="L7:L20" si="7">K7+L6</f>
        <v>116624.86</v>
      </c>
      <c r="M7" s="23">
        <f t="shared" si="3"/>
        <v>0</v>
      </c>
      <c r="N7" s="25">
        <f t="shared" ref="N7:N20" si="8">M7+N6</f>
        <v>0</v>
      </c>
      <c r="O7" s="23">
        <f t="shared" si="4"/>
        <v>-26375.24</v>
      </c>
      <c r="P7" s="25">
        <f>O7+P6</f>
        <v>-116624.86</v>
      </c>
    </row>
    <row r="8" spans="1:16" x14ac:dyDescent="0.3">
      <c r="A8" s="29" t="s">
        <v>11</v>
      </c>
      <c r="B8" s="30">
        <v>46086</v>
      </c>
      <c r="C8" s="23">
        <v>31634.89</v>
      </c>
      <c r="D8" s="23">
        <v>0</v>
      </c>
      <c r="E8" s="23">
        <f t="shared" si="1"/>
        <v>31634.89</v>
      </c>
      <c r="F8" s="23">
        <f t="shared" si="5"/>
        <v>148259.75</v>
      </c>
      <c r="G8" s="23"/>
      <c r="H8" s="23"/>
      <c r="I8" s="23">
        <f t="shared" si="0"/>
        <v>0</v>
      </c>
      <c r="J8" s="23">
        <f t="shared" si="6"/>
        <v>0</v>
      </c>
      <c r="K8" s="23">
        <f t="shared" si="2"/>
        <v>31634.89</v>
      </c>
      <c r="L8" s="24">
        <f t="shared" si="7"/>
        <v>148259.75</v>
      </c>
      <c r="M8" s="23">
        <f t="shared" si="3"/>
        <v>0</v>
      </c>
      <c r="N8" s="25">
        <f t="shared" si="8"/>
        <v>0</v>
      </c>
      <c r="O8" s="23">
        <f t="shared" si="4"/>
        <v>-31634.89</v>
      </c>
      <c r="P8" s="25">
        <f t="shared" ref="P8:P20" si="9">O8+P7</f>
        <v>-148259.75</v>
      </c>
    </row>
    <row r="9" spans="1:16" x14ac:dyDescent="0.3">
      <c r="A9" s="29" t="s">
        <v>12</v>
      </c>
      <c r="B9" s="30">
        <v>46087</v>
      </c>
      <c r="C9" s="23">
        <v>41124.39</v>
      </c>
      <c r="D9" s="23">
        <v>0</v>
      </c>
      <c r="E9" s="23">
        <f t="shared" si="1"/>
        <v>41124.39</v>
      </c>
      <c r="F9" s="23">
        <f t="shared" si="5"/>
        <v>189384.14</v>
      </c>
      <c r="G9" s="23"/>
      <c r="H9" s="23"/>
      <c r="I9" s="23">
        <f t="shared" si="0"/>
        <v>0</v>
      </c>
      <c r="J9" s="23">
        <f t="shared" si="6"/>
        <v>0</v>
      </c>
      <c r="K9" s="23">
        <f t="shared" si="2"/>
        <v>41124.39</v>
      </c>
      <c r="L9" s="24">
        <f t="shared" si="7"/>
        <v>189384.14</v>
      </c>
      <c r="M9" s="23">
        <f t="shared" si="3"/>
        <v>0</v>
      </c>
      <c r="N9" s="25">
        <f t="shared" si="8"/>
        <v>0</v>
      </c>
      <c r="O9" s="23">
        <f t="shared" si="4"/>
        <v>-41124.39</v>
      </c>
      <c r="P9" s="25">
        <f t="shared" si="9"/>
        <v>-189384.14</v>
      </c>
    </row>
    <row r="10" spans="1:16" x14ac:dyDescent="0.3">
      <c r="A10" s="29" t="s">
        <v>13</v>
      </c>
      <c r="B10" s="30">
        <v>46088</v>
      </c>
      <c r="C10" s="23">
        <v>26927.89</v>
      </c>
      <c r="D10" s="23">
        <v>0</v>
      </c>
      <c r="E10" s="23">
        <f t="shared" si="1"/>
        <v>26927.89</v>
      </c>
      <c r="F10" s="23">
        <f t="shared" si="5"/>
        <v>216312.03000000003</v>
      </c>
      <c r="G10" s="23">
        <v>0</v>
      </c>
      <c r="H10" s="23">
        <v>0</v>
      </c>
      <c r="I10" s="23">
        <f t="shared" si="0"/>
        <v>0</v>
      </c>
      <c r="J10" s="23">
        <f t="shared" si="6"/>
        <v>0</v>
      </c>
      <c r="K10" s="23">
        <f t="shared" si="2"/>
        <v>26927.89</v>
      </c>
      <c r="L10" s="24">
        <f t="shared" si="7"/>
        <v>216312.03000000003</v>
      </c>
      <c r="M10" s="23">
        <f t="shared" si="3"/>
        <v>0</v>
      </c>
      <c r="N10" s="25">
        <f t="shared" si="8"/>
        <v>0</v>
      </c>
      <c r="O10" s="23">
        <f t="shared" si="4"/>
        <v>-26927.89</v>
      </c>
      <c r="P10" s="25">
        <f t="shared" si="9"/>
        <v>-216312.03000000003</v>
      </c>
    </row>
    <row r="11" spans="1:16" x14ac:dyDescent="0.3">
      <c r="A11" s="29" t="s">
        <v>7</v>
      </c>
      <c r="B11" s="30">
        <v>46089</v>
      </c>
      <c r="C11" s="23">
        <v>7999</v>
      </c>
      <c r="D11" s="23">
        <v>0</v>
      </c>
      <c r="E11" s="23">
        <f t="shared" si="1"/>
        <v>7999</v>
      </c>
      <c r="F11" s="23">
        <f t="shared" si="5"/>
        <v>224311.03000000003</v>
      </c>
      <c r="G11" s="23">
        <v>0</v>
      </c>
      <c r="H11" s="23">
        <v>0</v>
      </c>
      <c r="I11" s="23">
        <f t="shared" si="0"/>
        <v>0</v>
      </c>
      <c r="J11" s="23">
        <f t="shared" si="6"/>
        <v>0</v>
      </c>
      <c r="K11" s="23">
        <f t="shared" si="2"/>
        <v>7999</v>
      </c>
      <c r="L11" s="24">
        <f t="shared" si="7"/>
        <v>224311.03000000003</v>
      </c>
      <c r="M11" s="23">
        <f t="shared" si="3"/>
        <v>0</v>
      </c>
      <c r="N11" s="25">
        <f t="shared" si="8"/>
        <v>0</v>
      </c>
      <c r="O11" s="23">
        <f t="shared" si="4"/>
        <v>-7999</v>
      </c>
      <c r="P11" s="25">
        <f t="shared" si="9"/>
        <v>-224311.03000000003</v>
      </c>
    </row>
    <row r="12" spans="1:16" x14ac:dyDescent="0.3">
      <c r="A12" s="29" t="s">
        <v>8</v>
      </c>
      <c r="B12" s="30">
        <v>46090</v>
      </c>
      <c r="C12" s="23">
        <v>21148.17</v>
      </c>
      <c r="D12" s="23">
        <v>0</v>
      </c>
      <c r="E12" s="23">
        <f t="shared" si="1"/>
        <v>21148.17</v>
      </c>
      <c r="F12" s="23">
        <f t="shared" si="5"/>
        <v>245459.20000000001</v>
      </c>
      <c r="G12" s="23"/>
      <c r="H12" s="23"/>
      <c r="I12" s="23">
        <f t="shared" si="0"/>
        <v>0</v>
      </c>
      <c r="J12" s="23">
        <f t="shared" si="6"/>
        <v>0</v>
      </c>
      <c r="K12" s="23">
        <f t="shared" si="2"/>
        <v>21148.17</v>
      </c>
      <c r="L12" s="24">
        <f t="shared" si="7"/>
        <v>245459.20000000001</v>
      </c>
      <c r="M12" s="23">
        <f t="shared" si="3"/>
        <v>0</v>
      </c>
      <c r="N12" s="25">
        <f t="shared" si="8"/>
        <v>0</v>
      </c>
      <c r="O12" s="23">
        <f t="shared" si="4"/>
        <v>-21148.17</v>
      </c>
      <c r="P12" s="25">
        <f t="shared" si="9"/>
        <v>-245459.20000000001</v>
      </c>
    </row>
    <row r="13" spans="1:16" x14ac:dyDescent="0.3">
      <c r="A13" s="29" t="s">
        <v>9</v>
      </c>
      <c r="B13" s="30">
        <v>46091</v>
      </c>
      <c r="C13" s="23">
        <v>34271.29</v>
      </c>
      <c r="D13" s="23">
        <v>0</v>
      </c>
      <c r="E13" s="23">
        <f t="shared" si="1"/>
        <v>34271.29</v>
      </c>
      <c r="F13" s="23">
        <f t="shared" si="5"/>
        <v>279730.49</v>
      </c>
      <c r="G13" s="23"/>
      <c r="H13" s="23"/>
      <c r="I13" s="23">
        <f t="shared" si="0"/>
        <v>0</v>
      </c>
      <c r="J13" s="23">
        <f t="shared" si="6"/>
        <v>0</v>
      </c>
      <c r="K13" s="23">
        <f t="shared" si="2"/>
        <v>34271.29</v>
      </c>
      <c r="L13" s="24">
        <f t="shared" si="7"/>
        <v>279730.49</v>
      </c>
      <c r="M13" s="23">
        <f t="shared" si="3"/>
        <v>0</v>
      </c>
      <c r="N13" s="25">
        <f t="shared" si="8"/>
        <v>0</v>
      </c>
      <c r="O13" s="23">
        <f t="shared" si="4"/>
        <v>-34271.29</v>
      </c>
      <c r="P13" s="25">
        <f t="shared" si="9"/>
        <v>-279730.49</v>
      </c>
    </row>
    <row r="14" spans="1:16" x14ac:dyDescent="0.3">
      <c r="A14" s="29" t="s">
        <v>10</v>
      </c>
      <c r="B14" s="30">
        <v>46092</v>
      </c>
      <c r="C14" s="23">
        <v>33376.5</v>
      </c>
      <c r="D14" s="23">
        <v>0</v>
      </c>
      <c r="E14" s="23">
        <f t="shared" si="1"/>
        <v>33376.5</v>
      </c>
      <c r="F14" s="23">
        <f t="shared" si="5"/>
        <v>313106.99</v>
      </c>
      <c r="G14" s="23"/>
      <c r="H14" s="23"/>
      <c r="I14" s="23">
        <f t="shared" si="0"/>
        <v>0</v>
      </c>
      <c r="J14" s="23">
        <f t="shared" si="6"/>
        <v>0</v>
      </c>
      <c r="K14" s="23">
        <f t="shared" si="2"/>
        <v>33376.5</v>
      </c>
      <c r="L14" s="24">
        <f t="shared" si="7"/>
        <v>313106.99</v>
      </c>
      <c r="M14" s="23">
        <f t="shared" si="3"/>
        <v>0</v>
      </c>
      <c r="N14" s="25">
        <f t="shared" si="8"/>
        <v>0</v>
      </c>
      <c r="O14" s="23">
        <f t="shared" si="4"/>
        <v>-33376.5</v>
      </c>
      <c r="P14" s="25">
        <f t="shared" si="9"/>
        <v>-313106.99</v>
      </c>
    </row>
    <row r="15" spans="1:16" x14ac:dyDescent="0.3">
      <c r="A15" s="29" t="s">
        <v>11</v>
      </c>
      <c r="B15" s="30">
        <v>46093</v>
      </c>
      <c r="C15" s="23">
        <v>24563</v>
      </c>
      <c r="D15" s="23">
        <v>0</v>
      </c>
      <c r="E15" s="23">
        <f t="shared" si="1"/>
        <v>24563</v>
      </c>
      <c r="F15" s="23">
        <f t="shared" si="5"/>
        <v>337669.99</v>
      </c>
      <c r="G15" s="23"/>
      <c r="H15" s="23"/>
      <c r="I15" s="23">
        <f t="shared" si="0"/>
        <v>0</v>
      </c>
      <c r="J15" s="23">
        <f t="shared" si="6"/>
        <v>0</v>
      </c>
      <c r="K15" s="23">
        <f t="shared" si="2"/>
        <v>24563</v>
      </c>
      <c r="L15" s="24">
        <f t="shared" si="7"/>
        <v>337669.99</v>
      </c>
      <c r="M15" s="23">
        <f t="shared" si="3"/>
        <v>0</v>
      </c>
      <c r="N15" s="25">
        <f t="shared" si="8"/>
        <v>0</v>
      </c>
      <c r="O15" s="23">
        <f t="shared" si="4"/>
        <v>-24563</v>
      </c>
      <c r="P15" s="25">
        <f t="shared" si="9"/>
        <v>-337669.99</v>
      </c>
    </row>
    <row r="16" spans="1:16" x14ac:dyDescent="0.3">
      <c r="A16" s="29" t="s">
        <v>12</v>
      </c>
      <c r="B16" s="30">
        <v>46094</v>
      </c>
      <c r="C16" s="23">
        <v>24570.89</v>
      </c>
      <c r="D16" s="23">
        <v>0</v>
      </c>
      <c r="E16" s="23">
        <f t="shared" si="1"/>
        <v>24570.89</v>
      </c>
      <c r="F16" s="23">
        <f t="shared" si="5"/>
        <v>362240.88</v>
      </c>
      <c r="G16" s="23"/>
      <c r="H16" s="23"/>
      <c r="I16" s="23">
        <f t="shared" si="0"/>
        <v>0</v>
      </c>
      <c r="J16" s="23">
        <f t="shared" si="6"/>
        <v>0</v>
      </c>
      <c r="K16" s="23">
        <f t="shared" si="2"/>
        <v>24570.89</v>
      </c>
      <c r="L16" s="24">
        <f t="shared" si="7"/>
        <v>362240.88</v>
      </c>
      <c r="M16" s="23">
        <f t="shared" si="3"/>
        <v>0</v>
      </c>
      <c r="N16" s="25">
        <f t="shared" si="8"/>
        <v>0</v>
      </c>
      <c r="O16" s="23">
        <f t="shared" si="4"/>
        <v>-24570.89</v>
      </c>
      <c r="P16" s="25">
        <f t="shared" si="9"/>
        <v>-362240.88</v>
      </c>
    </row>
    <row r="17" spans="1:16" x14ac:dyDescent="0.3">
      <c r="A17" s="29" t="s">
        <v>13</v>
      </c>
      <c r="B17" s="30">
        <v>46095</v>
      </c>
      <c r="C17" s="23">
        <v>14308.89</v>
      </c>
      <c r="D17" s="23">
        <v>0</v>
      </c>
      <c r="E17" s="23">
        <f t="shared" si="1"/>
        <v>14308.89</v>
      </c>
      <c r="F17" s="23">
        <f t="shared" si="5"/>
        <v>376549.77</v>
      </c>
      <c r="G17" s="23">
        <v>0</v>
      </c>
      <c r="H17" s="23">
        <v>0</v>
      </c>
      <c r="I17" s="23">
        <f t="shared" si="0"/>
        <v>0</v>
      </c>
      <c r="J17" s="23">
        <f t="shared" si="6"/>
        <v>0</v>
      </c>
      <c r="K17" s="23">
        <f t="shared" si="2"/>
        <v>14308.89</v>
      </c>
      <c r="L17" s="24">
        <f t="shared" si="7"/>
        <v>376549.77</v>
      </c>
      <c r="M17" s="23">
        <f t="shared" si="3"/>
        <v>0</v>
      </c>
      <c r="N17" s="25">
        <f t="shared" si="8"/>
        <v>0</v>
      </c>
      <c r="O17" s="23">
        <f t="shared" si="4"/>
        <v>-14308.89</v>
      </c>
      <c r="P17" s="25">
        <f t="shared" si="9"/>
        <v>-376549.77</v>
      </c>
    </row>
    <row r="18" spans="1:16" x14ac:dyDescent="0.3">
      <c r="A18" s="29" t="s">
        <v>7</v>
      </c>
      <c r="B18" s="30">
        <v>46096</v>
      </c>
      <c r="C18" s="23">
        <v>8123</v>
      </c>
      <c r="D18" s="23">
        <v>0</v>
      </c>
      <c r="E18" s="23">
        <f t="shared" si="1"/>
        <v>8123</v>
      </c>
      <c r="F18" s="23">
        <f t="shared" si="5"/>
        <v>384672.77</v>
      </c>
      <c r="G18" s="23"/>
      <c r="H18" s="23"/>
      <c r="I18" s="23">
        <f t="shared" si="0"/>
        <v>0</v>
      </c>
      <c r="J18" s="23">
        <f t="shared" si="6"/>
        <v>0</v>
      </c>
      <c r="K18" s="23">
        <f t="shared" si="2"/>
        <v>8123</v>
      </c>
      <c r="L18" s="24">
        <f t="shared" si="7"/>
        <v>384672.77</v>
      </c>
      <c r="M18" s="23">
        <f t="shared" si="3"/>
        <v>0</v>
      </c>
      <c r="N18" s="25">
        <f t="shared" si="8"/>
        <v>0</v>
      </c>
      <c r="O18" s="23">
        <f t="shared" si="4"/>
        <v>-8123</v>
      </c>
      <c r="P18" s="25">
        <f t="shared" si="9"/>
        <v>-384672.77</v>
      </c>
    </row>
    <row r="19" spans="1:16" x14ac:dyDescent="0.3">
      <c r="A19" s="29" t="s">
        <v>8</v>
      </c>
      <c r="B19" s="30">
        <v>46097</v>
      </c>
      <c r="C19" s="23">
        <v>12701</v>
      </c>
      <c r="D19" s="23">
        <v>22296.75</v>
      </c>
      <c r="E19" s="23">
        <f t="shared" si="1"/>
        <v>34997.75</v>
      </c>
      <c r="F19" s="23">
        <f t="shared" si="5"/>
        <v>419670.52</v>
      </c>
      <c r="G19" s="23">
        <f>15472.2+37025.05</f>
        <v>52497.25</v>
      </c>
      <c r="H19" s="23">
        <v>7319.11</v>
      </c>
      <c r="I19" s="23">
        <f t="shared" si="0"/>
        <v>59816.36</v>
      </c>
      <c r="J19" s="23">
        <f t="shared" si="6"/>
        <v>59816.36</v>
      </c>
      <c r="K19" s="23">
        <f t="shared" si="2"/>
        <v>34997.75</v>
      </c>
      <c r="L19" s="24">
        <f t="shared" si="7"/>
        <v>419670.52</v>
      </c>
      <c r="M19" s="23">
        <f t="shared" si="3"/>
        <v>59816.36</v>
      </c>
      <c r="N19" s="25">
        <f t="shared" si="8"/>
        <v>59816.36</v>
      </c>
      <c r="O19" s="23">
        <f t="shared" si="4"/>
        <v>24818.61</v>
      </c>
      <c r="P19" s="25">
        <f t="shared" si="9"/>
        <v>-359854.16000000003</v>
      </c>
    </row>
    <row r="20" spans="1:16" x14ac:dyDescent="0.3">
      <c r="A20" s="29" t="s">
        <v>9</v>
      </c>
      <c r="B20" s="30">
        <v>46098</v>
      </c>
      <c r="C20" s="23">
        <v>25373.5</v>
      </c>
      <c r="D20" s="23">
        <v>8377.57</v>
      </c>
      <c r="E20" s="23">
        <f t="shared" si="1"/>
        <v>33751.07</v>
      </c>
      <c r="F20" s="23">
        <f t="shared" si="5"/>
        <v>453421.59</v>
      </c>
      <c r="G20" s="23">
        <f>5017.51+27553.09</f>
        <v>32570.6</v>
      </c>
      <c r="H20" s="23">
        <v>2159.64</v>
      </c>
      <c r="I20" s="23">
        <f>SUM(G20:H20)</f>
        <v>34730.239999999998</v>
      </c>
      <c r="J20" s="23">
        <f t="shared" si="6"/>
        <v>94546.6</v>
      </c>
      <c r="K20" s="23">
        <f t="shared" si="2"/>
        <v>33751.07</v>
      </c>
      <c r="L20" s="24">
        <f t="shared" si="7"/>
        <v>453421.59</v>
      </c>
      <c r="M20" s="23">
        <f t="shared" si="3"/>
        <v>34730.239999999998</v>
      </c>
      <c r="N20" s="25">
        <f t="shared" si="8"/>
        <v>94546.6</v>
      </c>
      <c r="O20" s="23">
        <f t="shared" si="4"/>
        <v>979.16999999999825</v>
      </c>
      <c r="P20" s="25">
        <f t="shared" si="9"/>
        <v>-358874.99000000005</v>
      </c>
    </row>
    <row r="21" spans="1:16" x14ac:dyDescent="0.3">
      <c r="A21" s="29" t="s">
        <v>10</v>
      </c>
      <c r="B21" s="30">
        <v>46099</v>
      </c>
      <c r="C21" s="23"/>
      <c r="D21" s="2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6"/>
    </row>
    <row r="22" spans="1:16" x14ac:dyDescent="0.3">
      <c r="A22" s="29" t="s">
        <v>11</v>
      </c>
      <c r="B22" s="30">
        <v>46100</v>
      </c>
      <c r="C22" s="23"/>
      <c r="D22" s="2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6"/>
    </row>
    <row r="23" spans="1:16" x14ac:dyDescent="0.3">
      <c r="A23" s="29" t="s">
        <v>12</v>
      </c>
      <c r="B23" s="30">
        <v>46101</v>
      </c>
      <c r="C23" s="23"/>
      <c r="D23" s="2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6"/>
    </row>
    <row r="24" spans="1:16" x14ac:dyDescent="0.3">
      <c r="A24" s="29" t="s">
        <v>13</v>
      </c>
      <c r="B24" s="30">
        <v>46102</v>
      </c>
      <c r="C24" s="23"/>
      <c r="D24" s="26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6"/>
    </row>
    <row r="25" spans="1:16" x14ac:dyDescent="0.3">
      <c r="A25" s="29" t="s">
        <v>7</v>
      </c>
      <c r="B25" s="30">
        <v>46103</v>
      </c>
      <c r="C25" s="23"/>
      <c r="D25" s="26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6"/>
    </row>
    <row r="26" spans="1:16" x14ac:dyDescent="0.3">
      <c r="A26" s="29" t="s">
        <v>8</v>
      </c>
      <c r="B26" s="30">
        <v>46104</v>
      </c>
      <c r="C26" s="23"/>
      <c r="D26" s="26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6"/>
    </row>
    <row r="27" spans="1:16" x14ac:dyDescent="0.3">
      <c r="A27" s="29" t="s">
        <v>9</v>
      </c>
      <c r="B27" s="30">
        <v>46105</v>
      </c>
      <c r="C27" s="23"/>
      <c r="D27" s="26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6"/>
    </row>
    <row r="28" spans="1:16" x14ac:dyDescent="0.3">
      <c r="A28" s="29" t="s">
        <v>10</v>
      </c>
      <c r="B28" s="30">
        <v>46106</v>
      </c>
      <c r="C28" s="23"/>
      <c r="D28" s="26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6"/>
    </row>
    <row r="29" spans="1:16" x14ac:dyDescent="0.3">
      <c r="A29" s="29" t="s">
        <v>11</v>
      </c>
      <c r="B29" s="30">
        <v>46107</v>
      </c>
      <c r="C29" s="23"/>
      <c r="D29" s="26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6"/>
    </row>
    <row r="30" spans="1:16" x14ac:dyDescent="0.3">
      <c r="A30" s="29" t="s">
        <v>12</v>
      </c>
      <c r="B30" s="30">
        <v>46108</v>
      </c>
      <c r="C30" s="23"/>
      <c r="D30" s="26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6"/>
    </row>
    <row r="31" spans="1:16" x14ac:dyDescent="0.3">
      <c r="A31" s="29" t="s">
        <v>13</v>
      </c>
      <c r="B31" s="30">
        <v>46109</v>
      </c>
      <c r="C31" s="23"/>
      <c r="D31" s="26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6"/>
    </row>
    <row r="32" spans="1:16" x14ac:dyDescent="0.3">
      <c r="A32" s="29" t="s">
        <v>7</v>
      </c>
      <c r="B32" s="30">
        <v>46110</v>
      </c>
      <c r="C32" s="23"/>
      <c r="D32" s="26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6"/>
    </row>
    <row r="33" spans="1:16" x14ac:dyDescent="0.3">
      <c r="A33" s="29" t="s">
        <v>8</v>
      </c>
      <c r="B33" s="30">
        <v>46111</v>
      </c>
      <c r="C33" s="23"/>
      <c r="D33" s="26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6"/>
    </row>
    <row r="34" spans="1:16" x14ac:dyDescent="0.3">
      <c r="A34" s="29" t="s">
        <v>9</v>
      </c>
      <c r="B34" s="30">
        <v>46112</v>
      </c>
      <c r="C34" s="23"/>
      <c r="D34" s="26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6"/>
    </row>
    <row r="35" spans="1:16" x14ac:dyDescent="0.3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</sheetData>
  <mergeCells count="3">
    <mergeCell ref="C2:F2"/>
    <mergeCell ref="G2:J2"/>
    <mergeCell ref="K2:P2"/>
  </mergeCells>
  <pageMargins left="0.511811024" right="0.511811024" top="0.78740157499999996" bottom="0.78740157499999996" header="0.31496062000000002" footer="0.31496062000000002"/>
  <ignoredErrors>
    <ignoredError sqref="E4:E20" formulaRange="1"/>
    <ignoredError sqref="M4:M20 O4:O20 K4:K20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C2B14-D187-4360-9DCD-65A5230FE530}">
  <dimension ref="A1:P36"/>
  <sheetViews>
    <sheetView workbookViewId="0">
      <pane ySplit="4" topLeftCell="A5" activePane="bottomLeft" state="frozen"/>
      <selection pane="bottomLeft" activeCell="R9" sqref="R9"/>
    </sheetView>
  </sheetViews>
  <sheetFormatPr defaultRowHeight="14.4" outlineLevelCol="1" x14ac:dyDescent="0.3"/>
  <cols>
    <col min="1" max="1" width="5" customWidth="1"/>
    <col min="2" max="2" width="7.109375" customWidth="1"/>
    <col min="3" max="3" width="8.88671875" customWidth="1" outlineLevel="1"/>
    <col min="4" max="4" width="10" customWidth="1" outlineLevel="1"/>
    <col min="6" max="6" width="11" customWidth="1"/>
    <col min="7" max="7" width="9.109375" customWidth="1" outlineLevel="1"/>
    <col min="8" max="8" width="9" customWidth="1" outlineLevel="1"/>
    <col min="9" max="9" width="9.109375" customWidth="1"/>
    <col min="10" max="10" width="10" bestFit="1" customWidth="1"/>
    <col min="11" max="11" width="14.21875" customWidth="1"/>
    <col min="12" max="12" width="13" customWidth="1"/>
    <col min="13" max="13" width="14.21875" customWidth="1"/>
    <col min="14" max="14" width="11.44140625" customWidth="1"/>
    <col min="15" max="15" width="10.77734375" bestFit="1" customWidth="1"/>
    <col min="16" max="16" width="15.21875" customWidth="1"/>
  </cols>
  <sheetData>
    <row r="1" spans="1:16" ht="9" customHeight="1" x14ac:dyDescent="0.3"/>
    <row r="2" spans="1:16" ht="21" x14ac:dyDescent="0.4">
      <c r="C2" s="82" t="s">
        <v>2</v>
      </c>
      <c r="D2" s="82"/>
      <c r="E2" s="82"/>
      <c r="F2" s="82"/>
      <c r="G2" s="84" t="s">
        <v>3</v>
      </c>
      <c r="H2" s="84"/>
      <c r="I2" s="84"/>
      <c r="J2" s="84"/>
      <c r="K2" s="78" t="s">
        <v>15</v>
      </c>
      <c r="L2" s="79"/>
      <c r="M2" s="79"/>
      <c r="N2" s="79"/>
      <c r="O2" s="79"/>
      <c r="P2" s="80"/>
    </row>
    <row r="3" spans="1:16" x14ac:dyDescent="0.3">
      <c r="C3" s="85" t="s">
        <v>18</v>
      </c>
      <c r="D3" s="85"/>
      <c r="E3" s="85"/>
      <c r="F3" s="85"/>
      <c r="G3" s="85" t="s">
        <v>18</v>
      </c>
      <c r="H3" s="85"/>
      <c r="I3" s="85"/>
      <c r="J3" s="85"/>
      <c r="K3" s="86" t="s">
        <v>2</v>
      </c>
      <c r="L3" s="50" t="s">
        <v>19</v>
      </c>
      <c r="M3" s="87" t="s">
        <v>3</v>
      </c>
      <c r="N3" s="50" t="s">
        <v>21</v>
      </c>
      <c r="O3" s="59" t="s">
        <v>15</v>
      </c>
      <c r="P3" s="61" t="s">
        <v>33</v>
      </c>
    </row>
    <row r="4" spans="1:16" ht="26.4" customHeight="1" x14ac:dyDescent="0.3">
      <c r="B4" s="10" t="s">
        <v>32</v>
      </c>
      <c r="C4" s="8" t="s">
        <v>4</v>
      </c>
      <c r="D4" s="8" t="s">
        <v>34</v>
      </c>
      <c r="E4" s="16" t="s">
        <v>24</v>
      </c>
      <c r="F4" s="9" t="s">
        <v>25</v>
      </c>
      <c r="G4" s="8" t="s">
        <v>4</v>
      </c>
      <c r="H4" s="8" t="s">
        <v>34</v>
      </c>
      <c r="I4" s="15" t="s">
        <v>24</v>
      </c>
      <c r="J4" s="11" t="s">
        <v>25</v>
      </c>
      <c r="K4" s="86"/>
      <c r="L4" s="50"/>
      <c r="M4" s="87"/>
      <c r="N4" s="50"/>
      <c r="O4" s="60"/>
      <c r="P4" s="62"/>
    </row>
    <row r="5" spans="1:16" x14ac:dyDescent="0.3">
      <c r="A5" s="6" t="s">
        <v>7</v>
      </c>
      <c r="B5" s="4">
        <v>46082</v>
      </c>
      <c r="C5" s="3">
        <v>0</v>
      </c>
      <c r="D5" s="3">
        <v>0</v>
      </c>
      <c r="E5" s="3">
        <f>SUM(C5:D5)</f>
        <v>0</v>
      </c>
      <c r="F5" s="3">
        <f>E5</f>
        <v>0</v>
      </c>
      <c r="G5" s="3">
        <v>0</v>
      </c>
      <c r="H5" s="3">
        <v>0</v>
      </c>
      <c r="I5" s="3">
        <f t="shared" ref="I5:I19" si="0">SUM(G5:H5)</f>
        <v>0</v>
      </c>
      <c r="J5" s="3">
        <f>I5</f>
        <v>0</v>
      </c>
      <c r="K5" s="3">
        <f>E5</f>
        <v>0</v>
      </c>
      <c r="L5" s="18">
        <f>K5</f>
        <v>0</v>
      </c>
      <c r="M5" s="3">
        <f>I5</f>
        <v>0</v>
      </c>
      <c r="N5" s="5">
        <f>M5</f>
        <v>0</v>
      </c>
      <c r="O5" s="3">
        <f>M5-K5</f>
        <v>0</v>
      </c>
      <c r="P5" s="5">
        <f>O5</f>
        <v>0</v>
      </c>
    </row>
    <row r="6" spans="1:16" x14ac:dyDescent="0.3">
      <c r="A6" s="6" t="s">
        <v>8</v>
      </c>
      <c r="B6" s="4">
        <v>46083</v>
      </c>
      <c r="C6" s="3">
        <v>54198.39</v>
      </c>
      <c r="D6" s="3">
        <v>1063.9000000000001</v>
      </c>
      <c r="E6" s="3">
        <f t="shared" ref="E6:E21" si="1">SUM(C6:D6)</f>
        <v>55262.29</v>
      </c>
      <c r="F6" s="3">
        <f>E6+F5</f>
        <v>55262.29</v>
      </c>
      <c r="G6" s="3"/>
      <c r="H6" s="3"/>
      <c r="I6" s="3">
        <f t="shared" si="0"/>
        <v>0</v>
      </c>
      <c r="J6" s="3">
        <f>I6+J5</f>
        <v>0</v>
      </c>
      <c r="K6" s="3">
        <f t="shared" ref="K6:K21" si="2">E6</f>
        <v>55262.29</v>
      </c>
      <c r="L6" s="18">
        <f>K6+L5</f>
        <v>55262.29</v>
      </c>
      <c r="M6" s="3">
        <f t="shared" ref="M6:M21" si="3">I6</f>
        <v>0</v>
      </c>
      <c r="N6" s="5">
        <f>M6+N5</f>
        <v>0</v>
      </c>
      <c r="O6" s="3">
        <f t="shared" ref="O6:O21" si="4">M6-K6</f>
        <v>-55262.29</v>
      </c>
      <c r="P6" s="5">
        <f>O6+P5</f>
        <v>-55262.29</v>
      </c>
    </row>
    <row r="7" spans="1:16" x14ac:dyDescent="0.3">
      <c r="A7" s="6" t="s">
        <v>9</v>
      </c>
      <c r="B7" s="4">
        <v>46084</v>
      </c>
      <c r="C7" s="3">
        <v>56589.09</v>
      </c>
      <c r="D7" s="3">
        <v>201.17</v>
      </c>
      <c r="E7" s="3">
        <f t="shared" si="1"/>
        <v>56790.259999999995</v>
      </c>
      <c r="F7" s="3">
        <f>E7+F6</f>
        <v>112052.54999999999</v>
      </c>
      <c r="G7" s="3"/>
      <c r="H7" s="3"/>
      <c r="I7" s="3">
        <f t="shared" si="0"/>
        <v>0</v>
      </c>
      <c r="J7" s="3">
        <f t="shared" ref="J7:J21" si="5">I7+J6</f>
        <v>0</v>
      </c>
      <c r="K7" s="3">
        <f t="shared" si="2"/>
        <v>56790.259999999995</v>
      </c>
      <c r="L7" s="18">
        <f>K7+L6</f>
        <v>112052.54999999999</v>
      </c>
      <c r="M7" s="3">
        <f t="shared" si="3"/>
        <v>0</v>
      </c>
      <c r="N7" s="5">
        <f>M7+N6</f>
        <v>0</v>
      </c>
      <c r="O7" s="3">
        <f t="shared" si="4"/>
        <v>-56790.259999999995</v>
      </c>
      <c r="P7" s="5">
        <f>O7+P6</f>
        <v>-112052.54999999999</v>
      </c>
    </row>
    <row r="8" spans="1:16" x14ac:dyDescent="0.3">
      <c r="A8" s="6" t="s">
        <v>10</v>
      </c>
      <c r="B8" s="4">
        <v>46085</v>
      </c>
      <c r="C8" s="3">
        <v>34726</v>
      </c>
      <c r="D8" s="3">
        <v>10033.120000000001</v>
      </c>
      <c r="E8" s="3">
        <f t="shared" si="1"/>
        <v>44759.12</v>
      </c>
      <c r="F8" s="3">
        <f t="shared" ref="F8:F21" si="6">E8+F7</f>
        <v>156811.66999999998</v>
      </c>
      <c r="G8" s="3"/>
      <c r="H8" s="3"/>
      <c r="I8" s="3">
        <f t="shared" si="0"/>
        <v>0</v>
      </c>
      <c r="J8" s="3">
        <f t="shared" si="5"/>
        <v>0</v>
      </c>
      <c r="K8" s="3">
        <f t="shared" si="2"/>
        <v>44759.12</v>
      </c>
      <c r="L8" s="18">
        <f t="shared" ref="L8:L21" si="7">K8+L7</f>
        <v>156811.66999999998</v>
      </c>
      <c r="M8" s="3">
        <f t="shared" si="3"/>
        <v>0</v>
      </c>
      <c r="N8" s="5">
        <f t="shared" ref="N8:N21" si="8">M8+N7</f>
        <v>0</v>
      </c>
      <c r="O8" s="3">
        <f t="shared" si="4"/>
        <v>-44759.12</v>
      </c>
      <c r="P8" s="5">
        <f>O8+P7</f>
        <v>-156811.66999999998</v>
      </c>
    </row>
    <row r="9" spans="1:16" x14ac:dyDescent="0.3">
      <c r="A9" s="6" t="s">
        <v>11</v>
      </c>
      <c r="B9" s="4">
        <v>46086</v>
      </c>
      <c r="C9" s="3">
        <v>26509.39</v>
      </c>
      <c r="D9" s="3">
        <v>12330.95</v>
      </c>
      <c r="E9" s="3">
        <f t="shared" si="1"/>
        <v>38840.339999999997</v>
      </c>
      <c r="F9" s="3">
        <f t="shared" si="6"/>
        <v>195652.00999999998</v>
      </c>
      <c r="G9" s="3"/>
      <c r="H9" s="3"/>
      <c r="I9" s="3">
        <f t="shared" si="0"/>
        <v>0</v>
      </c>
      <c r="J9" s="3">
        <f t="shared" si="5"/>
        <v>0</v>
      </c>
      <c r="K9" s="3">
        <f t="shared" si="2"/>
        <v>38840.339999999997</v>
      </c>
      <c r="L9" s="18">
        <f t="shared" si="7"/>
        <v>195652.00999999998</v>
      </c>
      <c r="M9" s="3">
        <f t="shared" si="3"/>
        <v>0</v>
      </c>
      <c r="N9" s="5">
        <f t="shared" si="8"/>
        <v>0</v>
      </c>
      <c r="O9" s="3">
        <f t="shared" si="4"/>
        <v>-38840.339999999997</v>
      </c>
      <c r="P9" s="5">
        <f t="shared" ref="P9:P21" si="9">O9+P8</f>
        <v>-195652.00999999998</v>
      </c>
    </row>
    <row r="10" spans="1:16" x14ac:dyDescent="0.3">
      <c r="A10" s="6" t="s">
        <v>12</v>
      </c>
      <c r="B10" s="4">
        <v>46087</v>
      </c>
      <c r="C10" s="3">
        <v>30823</v>
      </c>
      <c r="D10" s="3">
        <v>212.78</v>
      </c>
      <c r="E10" s="3">
        <f t="shared" si="1"/>
        <v>31035.78</v>
      </c>
      <c r="F10" s="3">
        <f t="shared" si="6"/>
        <v>226687.78999999998</v>
      </c>
      <c r="G10" s="3"/>
      <c r="H10" s="3"/>
      <c r="I10" s="3">
        <f t="shared" si="0"/>
        <v>0</v>
      </c>
      <c r="J10" s="3">
        <f t="shared" si="5"/>
        <v>0</v>
      </c>
      <c r="K10" s="3">
        <f t="shared" si="2"/>
        <v>31035.78</v>
      </c>
      <c r="L10" s="18">
        <f t="shared" si="7"/>
        <v>226687.78999999998</v>
      </c>
      <c r="M10" s="3">
        <f t="shared" si="3"/>
        <v>0</v>
      </c>
      <c r="N10" s="5">
        <f t="shared" si="8"/>
        <v>0</v>
      </c>
      <c r="O10" s="3">
        <f t="shared" si="4"/>
        <v>-31035.78</v>
      </c>
      <c r="P10" s="5">
        <f t="shared" si="9"/>
        <v>-226687.78999999998</v>
      </c>
    </row>
    <row r="11" spans="1:16" x14ac:dyDescent="0.3">
      <c r="A11" s="6" t="s">
        <v>13</v>
      </c>
      <c r="B11" s="4">
        <v>46088</v>
      </c>
      <c r="C11" s="3">
        <v>62281.39</v>
      </c>
      <c r="D11" s="3">
        <v>106.39</v>
      </c>
      <c r="E11" s="3">
        <f t="shared" si="1"/>
        <v>62387.78</v>
      </c>
      <c r="F11" s="3">
        <f t="shared" si="6"/>
        <v>289075.56999999995</v>
      </c>
      <c r="G11" s="3">
        <v>0</v>
      </c>
      <c r="H11" s="3">
        <v>0</v>
      </c>
      <c r="I11" s="3">
        <f t="shared" si="0"/>
        <v>0</v>
      </c>
      <c r="J11" s="3">
        <f t="shared" si="5"/>
        <v>0</v>
      </c>
      <c r="K11" s="3">
        <f t="shared" si="2"/>
        <v>62387.78</v>
      </c>
      <c r="L11" s="18">
        <f t="shared" si="7"/>
        <v>289075.56999999995</v>
      </c>
      <c r="M11" s="3">
        <f t="shared" si="3"/>
        <v>0</v>
      </c>
      <c r="N11" s="5">
        <f t="shared" si="8"/>
        <v>0</v>
      </c>
      <c r="O11" s="3">
        <f t="shared" si="4"/>
        <v>-62387.78</v>
      </c>
      <c r="P11" s="5">
        <f t="shared" si="9"/>
        <v>-289075.56999999995</v>
      </c>
    </row>
    <row r="12" spans="1:16" x14ac:dyDescent="0.3">
      <c r="A12" s="6" t="s">
        <v>7</v>
      </c>
      <c r="B12" s="4">
        <v>46089</v>
      </c>
      <c r="C12" s="3">
        <v>0</v>
      </c>
      <c r="D12" s="3">
        <v>0</v>
      </c>
      <c r="E12" s="3">
        <f t="shared" si="1"/>
        <v>0</v>
      </c>
      <c r="F12" s="3">
        <f t="shared" si="6"/>
        <v>289075.56999999995</v>
      </c>
      <c r="G12" s="3">
        <v>0</v>
      </c>
      <c r="H12" s="3">
        <v>0</v>
      </c>
      <c r="I12" s="3">
        <f t="shared" si="0"/>
        <v>0</v>
      </c>
      <c r="J12" s="3">
        <f t="shared" si="5"/>
        <v>0</v>
      </c>
      <c r="K12" s="3">
        <f t="shared" si="2"/>
        <v>0</v>
      </c>
      <c r="L12" s="18">
        <f t="shared" si="7"/>
        <v>289075.56999999995</v>
      </c>
      <c r="M12" s="3">
        <f t="shared" si="3"/>
        <v>0</v>
      </c>
      <c r="N12" s="5">
        <f t="shared" si="8"/>
        <v>0</v>
      </c>
      <c r="O12" s="3">
        <f t="shared" si="4"/>
        <v>0</v>
      </c>
      <c r="P12" s="5">
        <f t="shared" si="9"/>
        <v>-289075.56999999995</v>
      </c>
    </row>
    <row r="13" spans="1:16" x14ac:dyDescent="0.3">
      <c r="A13" s="6" t="s">
        <v>8</v>
      </c>
      <c r="B13" s="4">
        <v>46090</v>
      </c>
      <c r="C13" s="3">
        <v>46453</v>
      </c>
      <c r="D13" s="3">
        <v>744.73</v>
      </c>
      <c r="E13" s="3">
        <f t="shared" si="1"/>
        <v>47197.73</v>
      </c>
      <c r="F13" s="3">
        <f t="shared" si="6"/>
        <v>336273.29999999993</v>
      </c>
      <c r="G13" s="3"/>
      <c r="H13" s="3"/>
      <c r="I13" s="3">
        <f t="shared" si="0"/>
        <v>0</v>
      </c>
      <c r="J13" s="3">
        <f t="shared" si="5"/>
        <v>0</v>
      </c>
      <c r="K13" s="3">
        <f t="shared" si="2"/>
        <v>47197.73</v>
      </c>
      <c r="L13" s="18">
        <f t="shared" si="7"/>
        <v>336273.29999999993</v>
      </c>
      <c r="M13" s="3">
        <f t="shared" si="3"/>
        <v>0</v>
      </c>
      <c r="N13" s="5">
        <f t="shared" si="8"/>
        <v>0</v>
      </c>
      <c r="O13" s="3">
        <f t="shared" si="4"/>
        <v>-47197.73</v>
      </c>
      <c r="P13" s="5">
        <f t="shared" si="9"/>
        <v>-336273.29999999993</v>
      </c>
    </row>
    <row r="14" spans="1:16" x14ac:dyDescent="0.3">
      <c r="A14" s="6" t="s">
        <v>9</v>
      </c>
      <c r="B14" s="4">
        <v>46091</v>
      </c>
      <c r="C14" s="7">
        <f>71492.87-17000</f>
        <v>54492.869999999995</v>
      </c>
      <c r="D14" s="3">
        <v>5961.95</v>
      </c>
      <c r="E14" s="3">
        <f t="shared" si="1"/>
        <v>60454.819999999992</v>
      </c>
      <c r="F14" s="3">
        <f t="shared" si="6"/>
        <v>396728.11999999994</v>
      </c>
      <c r="G14" s="3"/>
      <c r="H14" s="3"/>
      <c r="I14" s="3">
        <f t="shared" si="0"/>
        <v>0</v>
      </c>
      <c r="J14" s="3">
        <f t="shared" si="5"/>
        <v>0</v>
      </c>
      <c r="K14" s="3">
        <f t="shared" si="2"/>
        <v>60454.819999999992</v>
      </c>
      <c r="L14" s="18">
        <f t="shared" si="7"/>
        <v>396728.11999999994</v>
      </c>
      <c r="M14" s="3">
        <f t="shared" si="3"/>
        <v>0</v>
      </c>
      <c r="N14" s="5">
        <f t="shared" si="8"/>
        <v>0</v>
      </c>
      <c r="O14" s="3">
        <f t="shared" si="4"/>
        <v>-60454.819999999992</v>
      </c>
      <c r="P14" s="5">
        <f t="shared" si="9"/>
        <v>-396728.11999999994</v>
      </c>
    </row>
    <row r="15" spans="1:16" x14ac:dyDescent="0.3">
      <c r="A15" s="6" t="s">
        <v>10</v>
      </c>
      <c r="B15" s="4">
        <v>46092</v>
      </c>
      <c r="C15" s="3">
        <v>23570.39</v>
      </c>
      <c r="D15" s="3">
        <v>11428.67</v>
      </c>
      <c r="E15" s="3">
        <f t="shared" si="1"/>
        <v>34999.06</v>
      </c>
      <c r="F15" s="3">
        <f t="shared" si="6"/>
        <v>431727.17999999993</v>
      </c>
      <c r="G15" s="3"/>
      <c r="H15" s="3"/>
      <c r="I15" s="3">
        <f t="shared" si="0"/>
        <v>0</v>
      </c>
      <c r="J15" s="3">
        <f t="shared" si="5"/>
        <v>0</v>
      </c>
      <c r="K15" s="3">
        <f t="shared" si="2"/>
        <v>34999.06</v>
      </c>
      <c r="L15" s="18">
        <f t="shared" si="7"/>
        <v>431727.17999999993</v>
      </c>
      <c r="M15" s="3">
        <f t="shared" si="3"/>
        <v>0</v>
      </c>
      <c r="N15" s="5">
        <f t="shared" si="8"/>
        <v>0</v>
      </c>
      <c r="O15" s="3">
        <f t="shared" si="4"/>
        <v>-34999.06</v>
      </c>
      <c r="P15" s="5">
        <f t="shared" si="9"/>
        <v>-431727.17999999993</v>
      </c>
    </row>
    <row r="16" spans="1:16" x14ac:dyDescent="0.3">
      <c r="A16" s="6" t="s">
        <v>11</v>
      </c>
      <c r="B16" s="4">
        <v>46093</v>
      </c>
      <c r="C16" s="3">
        <v>54115.39</v>
      </c>
      <c r="D16" s="3">
        <v>531.95000000000005</v>
      </c>
      <c r="E16" s="3">
        <f t="shared" si="1"/>
        <v>54647.34</v>
      </c>
      <c r="F16" s="3">
        <f t="shared" si="6"/>
        <v>486374.5199999999</v>
      </c>
      <c r="G16" s="3"/>
      <c r="H16" s="3"/>
      <c r="I16" s="3">
        <f t="shared" si="0"/>
        <v>0</v>
      </c>
      <c r="J16" s="3">
        <f t="shared" si="5"/>
        <v>0</v>
      </c>
      <c r="K16" s="3">
        <f t="shared" si="2"/>
        <v>54647.34</v>
      </c>
      <c r="L16" s="18">
        <f t="shared" si="7"/>
        <v>486374.5199999999</v>
      </c>
      <c r="M16" s="3">
        <f t="shared" si="3"/>
        <v>0</v>
      </c>
      <c r="N16" s="5">
        <f t="shared" si="8"/>
        <v>0</v>
      </c>
      <c r="O16" s="3">
        <f t="shared" si="4"/>
        <v>-54647.34</v>
      </c>
      <c r="P16" s="5">
        <f t="shared" si="9"/>
        <v>-486374.5199999999</v>
      </c>
    </row>
    <row r="17" spans="1:16" x14ac:dyDescent="0.3">
      <c r="A17" s="6" t="s">
        <v>12</v>
      </c>
      <c r="B17" s="4">
        <v>46094</v>
      </c>
      <c r="C17" s="3">
        <v>59304.89</v>
      </c>
      <c r="D17" s="3">
        <v>0</v>
      </c>
      <c r="E17" s="3">
        <f t="shared" si="1"/>
        <v>59304.89</v>
      </c>
      <c r="F17" s="3">
        <f t="shared" si="6"/>
        <v>545679.40999999992</v>
      </c>
      <c r="G17" s="3"/>
      <c r="H17" s="3"/>
      <c r="I17" s="3">
        <f t="shared" si="0"/>
        <v>0</v>
      </c>
      <c r="J17" s="3">
        <f t="shared" si="5"/>
        <v>0</v>
      </c>
      <c r="K17" s="3">
        <f t="shared" si="2"/>
        <v>59304.89</v>
      </c>
      <c r="L17" s="18">
        <f t="shared" si="7"/>
        <v>545679.40999999992</v>
      </c>
      <c r="M17" s="3">
        <f t="shared" si="3"/>
        <v>0</v>
      </c>
      <c r="N17" s="5">
        <f t="shared" si="8"/>
        <v>0</v>
      </c>
      <c r="O17" s="3">
        <f t="shared" si="4"/>
        <v>-59304.89</v>
      </c>
      <c r="P17" s="5">
        <f t="shared" si="9"/>
        <v>-545679.40999999992</v>
      </c>
    </row>
    <row r="18" spans="1:16" x14ac:dyDescent="0.3">
      <c r="A18" s="6" t="s">
        <v>13</v>
      </c>
      <c r="B18" s="4">
        <v>46095</v>
      </c>
      <c r="C18" s="3">
        <v>51980</v>
      </c>
      <c r="D18" s="3">
        <v>0</v>
      </c>
      <c r="E18" s="3">
        <f t="shared" si="1"/>
        <v>51980</v>
      </c>
      <c r="F18" s="3">
        <f t="shared" si="6"/>
        <v>597659.40999999992</v>
      </c>
      <c r="G18" s="3"/>
      <c r="H18" s="3"/>
      <c r="I18" s="3">
        <f t="shared" si="0"/>
        <v>0</v>
      </c>
      <c r="J18" s="3">
        <f t="shared" si="5"/>
        <v>0</v>
      </c>
      <c r="K18" s="3">
        <f t="shared" si="2"/>
        <v>51980</v>
      </c>
      <c r="L18" s="18">
        <f t="shared" si="7"/>
        <v>597659.40999999992</v>
      </c>
      <c r="M18" s="3">
        <f t="shared" si="3"/>
        <v>0</v>
      </c>
      <c r="N18" s="5">
        <f t="shared" si="8"/>
        <v>0</v>
      </c>
      <c r="O18" s="3">
        <f t="shared" si="4"/>
        <v>-51980</v>
      </c>
      <c r="P18" s="5">
        <f t="shared" si="9"/>
        <v>-597659.40999999992</v>
      </c>
    </row>
    <row r="19" spans="1:16" x14ac:dyDescent="0.3">
      <c r="A19" s="6" t="s">
        <v>7</v>
      </c>
      <c r="B19" s="4">
        <v>46096</v>
      </c>
      <c r="C19" s="3">
        <v>0</v>
      </c>
      <c r="D19" s="3">
        <v>0</v>
      </c>
      <c r="E19" s="3">
        <f t="shared" si="1"/>
        <v>0</v>
      </c>
      <c r="F19" s="3">
        <f t="shared" si="6"/>
        <v>597659.40999999992</v>
      </c>
      <c r="G19" s="3"/>
      <c r="H19" s="3"/>
      <c r="I19" s="3">
        <f t="shared" si="0"/>
        <v>0</v>
      </c>
      <c r="J19" s="3">
        <f t="shared" si="5"/>
        <v>0</v>
      </c>
      <c r="K19" s="3">
        <f t="shared" si="2"/>
        <v>0</v>
      </c>
      <c r="L19" s="18">
        <f t="shared" si="7"/>
        <v>597659.40999999992</v>
      </c>
      <c r="M19" s="3">
        <f t="shared" si="3"/>
        <v>0</v>
      </c>
      <c r="N19" s="5">
        <f t="shared" si="8"/>
        <v>0</v>
      </c>
      <c r="O19" s="3">
        <f t="shared" si="4"/>
        <v>0</v>
      </c>
      <c r="P19" s="5">
        <f t="shared" si="9"/>
        <v>-597659.40999999992</v>
      </c>
    </row>
    <row r="20" spans="1:16" x14ac:dyDescent="0.3">
      <c r="A20" s="6" t="s">
        <v>8</v>
      </c>
      <c r="B20" s="4">
        <v>46097</v>
      </c>
      <c r="C20" s="3">
        <v>41431.5</v>
      </c>
      <c r="D20" s="1">
        <v>638.34</v>
      </c>
      <c r="E20" s="3">
        <f t="shared" si="1"/>
        <v>42069.84</v>
      </c>
      <c r="F20" s="3">
        <f t="shared" si="6"/>
        <v>639729.24999999988</v>
      </c>
      <c r="G20" s="3">
        <f>24549.27+21935.5+636</f>
        <v>47120.770000000004</v>
      </c>
      <c r="H20" s="3">
        <f>851.12+7500</f>
        <v>8351.1200000000008</v>
      </c>
      <c r="I20" s="3">
        <f>SUM(G20:H20)</f>
        <v>55471.890000000007</v>
      </c>
      <c r="J20" s="3">
        <f t="shared" si="5"/>
        <v>55471.890000000007</v>
      </c>
      <c r="K20" s="3">
        <f t="shared" si="2"/>
        <v>42069.84</v>
      </c>
      <c r="L20" s="18">
        <f t="shared" si="7"/>
        <v>639729.24999999988</v>
      </c>
      <c r="M20" s="3">
        <f t="shared" si="3"/>
        <v>55471.890000000007</v>
      </c>
      <c r="N20" s="5">
        <f t="shared" si="8"/>
        <v>55471.890000000007</v>
      </c>
      <c r="O20" s="3">
        <f t="shared" si="4"/>
        <v>13402.05000000001</v>
      </c>
      <c r="P20" s="5">
        <f t="shared" si="9"/>
        <v>-584257.35999999987</v>
      </c>
    </row>
    <row r="21" spans="1:16" x14ac:dyDescent="0.3">
      <c r="A21" s="6" t="s">
        <v>9</v>
      </c>
      <c r="B21" s="4">
        <v>46098</v>
      </c>
      <c r="C21" s="3">
        <v>57342.71</v>
      </c>
      <c r="D21" s="3">
        <v>8402.33</v>
      </c>
      <c r="E21" s="3">
        <f t="shared" si="1"/>
        <v>65745.039999999994</v>
      </c>
      <c r="F21" s="3">
        <f t="shared" si="6"/>
        <v>705474.28999999992</v>
      </c>
      <c r="G21" s="3">
        <f>7485.54+15744</f>
        <v>23229.54</v>
      </c>
      <c r="H21" s="3">
        <v>425.56</v>
      </c>
      <c r="I21" s="3">
        <f>SUM(G21:H21)</f>
        <v>23655.100000000002</v>
      </c>
      <c r="J21" s="3">
        <f t="shared" si="5"/>
        <v>79126.990000000005</v>
      </c>
      <c r="K21" s="3">
        <f t="shared" si="2"/>
        <v>65745.039999999994</v>
      </c>
      <c r="L21" s="18">
        <f t="shared" si="7"/>
        <v>705474.28999999992</v>
      </c>
      <c r="M21" s="3">
        <f t="shared" si="3"/>
        <v>23655.100000000002</v>
      </c>
      <c r="N21" s="5">
        <f t="shared" si="8"/>
        <v>79126.990000000005</v>
      </c>
      <c r="O21" s="3">
        <f t="shared" si="4"/>
        <v>-42089.939999999988</v>
      </c>
      <c r="P21" s="5">
        <f t="shared" si="9"/>
        <v>-626347.29999999981</v>
      </c>
    </row>
    <row r="22" spans="1:16" x14ac:dyDescent="0.3">
      <c r="A22" s="6" t="s">
        <v>10</v>
      </c>
      <c r="B22" s="4">
        <v>46099</v>
      </c>
      <c r="C22" s="1"/>
      <c r="D22" s="1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"/>
    </row>
    <row r="23" spans="1:16" x14ac:dyDescent="0.3">
      <c r="A23" s="6" t="s">
        <v>11</v>
      </c>
      <c r="B23" s="4">
        <v>46100</v>
      </c>
      <c r="C23" s="1"/>
      <c r="D23" s="1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1"/>
    </row>
    <row r="24" spans="1:16" x14ac:dyDescent="0.3">
      <c r="A24" s="6" t="s">
        <v>12</v>
      </c>
      <c r="B24" s="4">
        <v>46101</v>
      </c>
      <c r="C24" s="1"/>
      <c r="D24" s="1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1"/>
    </row>
    <row r="25" spans="1:16" x14ac:dyDescent="0.3">
      <c r="A25" s="6" t="s">
        <v>13</v>
      </c>
      <c r="B25" s="4">
        <v>46102</v>
      </c>
      <c r="C25" s="1"/>
      <c r="D25" s="1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1"/>
    </row>
    <row r="26" spans="1:16" x14ac:dyDescent="0.3">
      <c r="A26" s="6" t="s">
        <v>7</v>
      </c>
      <c r="B26" s="4">
        <v>46103</v>
      </c>
      <c r="C26" s="1"/>
      <c r="D26" s="1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1"/>
    </row>
    <row r="27" spans="1:16" x14ac:dyDescent="0.3">
      <c r="A27" s="6" t="s">
        <v>8</v>
      </c>
      <c r="B27" s="4">
        <v>46104</v>
      </c>
      <c r="C27" s="1"/>
      <c r="D27" s="1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1"/>
    </row>
    <row r="28" spans="1:16" x14ac:dyDescent="0.3">
      <c r="A28" s="6" t="s">
        <v>9</v>
      </c>
      <c r="B28" s="4">
        <v>46105</v>
      </c>
      <c r="C28" s="1"/>
      <c r="D28" s="1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1"/>
    </row>
    <row r="29" spans="1:16" x14ac:dyDescent="0.3">
      <c r="A29" s="6" t="s">
        <v>10</v>
      </c>
      <c r="B29" s="4">
        <v>46106</v>
      </c>
      <c r="C29" s="1"/>
      <c r="D29" s="1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1"/>
    </row>
    <row r="30" spans="1:16" x14ac:dyDescent="0.3">
      <c r="A30" s="6" t="s">
        <v>11</v>
      </c>
      <c r="B30" s="4">
        <v>46107</v>
      </c>
      <c r="C30" s="1"/>
      <c r="D30" s="1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1"/>
    </row>
    <row r="31" spans="1:16" x14ac:dyDescent="0.3">
      <c r="A31" s="6" t="s">
        <v>12</v>
      </c>
      <c r="B31" s="4">
        <v>46108</v>
      </c>
      <c r="C31" s="1"/>
      <c r="D31" s="1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1"/>
    </row>
    <row r="32" spans="1:16" x14ac:dyDescent="0.3">
      <c r="A32" s="6" t="s">
        <v>13</v>
      </c>
      <c r="B32" s="4">
        <v>46109</v>
      </c>
      <c r="C32" s="1"/>
      <c r="D32" s="1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"/>
    </row>
    <row r="33" spans="1:16" x14ac:dyDescent="0.3">
      <c r="A33" s="6" t="s">
        <v>7</v>
      </c>
      <c r="B33" s="4">
        <v>46110</v>
      </c>
      <c r="C33" s="1"/>
      <c r="D33" s="1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1"/>
    </row>
    <row r="34" spans="1:16" x14ac:dyDescent="0.3">
      <c r="A34" s="6" t="s">
        <v>8</v>
      </c>
      <c r="B34" s="4">
        <v>46111</v>
      </c>
      <c r="C34" s="1"/>
      <c r="D34" s="1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1"/>
    </row>
    <row r="35" spans="1:16" x14ac:dyDescent="0.3">
      <c r="A35" s="6" t="s">
        <v>9</v>
      </c>
      <c r="B35" s="4">
        <v>46112</v>
      </c>
      <c r="C35" s="1"/>
      <c r="D35" s="1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1"/>
    </row>
    <row r="36" spans="1:16" x14ac:dyDescent="0.3">
      <c r="C36" s="2">
        <f t="shared" ref="C36:D36" si="10">SUM(C5:C35)</f>
        <v>653818.01</v>
      </c>
      <c r="D36" s="2">
        <f t="shared" si="10"/>
        <v>51656.279999999992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</sheetData>
  <mergeCells count="11">
    <mergeCell ref="C2:F2"/>
    <mergeCell ref="G2:J2"/>
    <mergeCell ref="K2:P2"/>
    <mergeCell ref="C3:F3"/>
    <mergeCell ref="G3:J3"/>
    <mergeCell ref="P3:P4"/>
    <mergeCell ref="K3:K4"/>
    <mergeCell ref="L3:L4"/>
    <mergeCell ref="M3:M4"/>
    <mergeCell ref="N3:N4"/>
    <mergeCell ref="O3:O4"/>
  </mergeCells>
  <pageMargins left="0.511811024" right="0.511811024" top="0.78740157499999996" bottom="0.78740157499999996" header="0.31496062000000002" footer="0.31496062000000002"/>
  <ignoredErrors>
    <ignoredError sqref="E5:E21" formulaRange="1"/>
    <ignoredError sqref="K5:K21 M5:M21 O5:O21" formula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B5300-C235-4CFC-8E02-3C3F9F92C578}">
  <dimension ref="A1:P36"/>
  <sheetViews>
    <sheetView workbookViewId="0">
      <pane ySplit="4" topLeftCell="A5" activePane="bottomLeft" state="frozen"/>
      <selection pane="bottomLeft" activeCell="C2" sqref="C2:H2"/>
    </sheetView>
  </sheetViews>
  <sheetFormatPr defaultRowHeight="14.4" outlineLevelCol="1" x14ac:dyDescent="0.3"/>
  <cols>
    <col min="1" max="1" width="5" customWidth="1"/>
    <col min="2" max="2" width="7.109375" customWidth="1"/>
    <col min="3" max="3" width="10.77734375" customWidth="1" outlineLevel="1"/>
    <col min="4" max="4" width="10" customWidth="1"/>
    <col min="5" max="5" width="10.5546875" customWidth="1"/>
    <col min="6" max="6" width="13.5546875" customWidth="1" outlineLevel="1"/>
    <col min="7" max="7" width="10.44140625" customWidth="1"/>
    <col min="8" max="8" width="11.6640625" customWidth="1"/>
    <col min="9" max="9" width="14.21875" customWidth="1"/>
    <col min="10" max="10" width="13" customWidth="1"/>
    <col min="11" max="11" width="14.21875" customWidth="1"/>
    <col min="12" max="12" width="11.44140625" customWidth="1"/>
    <col min="13" max="13" width="10.77734375" bestFit="1" customWidth="1"/>
    <col min="14" max="14" width="15.21875" customWidth="1"/>
    <col min="16" max="16" width="9.77734375" bestFit="1" customWidth="1"/>
  </cols>
  <sheetData>
    <row r="1" spans="1:14" ht="9" customHeight="1" x14ac:dyDescent="0.3"/>
    <row r="2" spans="1:14" ht="21" x14ac:dyDescent="0.4">
      <c r="C2" s="82" t="s">
        <v>2</v>
      </c>
      <c r="D2" s="82"/>
      <c r="E2" s="82"/>
      <c r="F2" s="84" t="s">
        <v>3</v>
      </c>
      <c r="G2" s="84"/>
      <c r="H2" s="84"/>
      <c r="I2" s="78" t="s">
        <v>15</v>
      </c>
      <c r="J2" s="79"/>
      <c r="K2" s="79"/>
      <c r="L2" s="79"/>
      <c r="M2" s="79"/>
      <c r="N2" s="80"/>
    </row>
    <row r="3" spans="1:14" x14ac:dyDescent="0.3">
      <c r="C3" s="88" t="s">
        <v>27</v>
      </c>
      <c r="D3" s="88"/>
      <c r="E3" s="88"/>
      <c r="F3" s="88" t="s">
        <v>27</v>
      </c>
      <c r="G3" s="88"/>
      <c r="H3" s="88"/>
      <c r="I3" s="86" t="s">
        <v>2</v>
      </c>
      <c r="J3" s="50" t="s">
        <v>19</v>
      </c>
      <c r="K3" s="87" t="s">
        <v>3</v>
      </c>
      <c r="L3" s="50" t="s">
        <v>21</v>
      </c>
      <c r="M3" s="59" t="s">
        <v>15</v>
      </c>
      <c r="N3" s="61" t="s">
        <v>33</v>
      </c>
    </row>
    <row r="4" spans="1:14" ht="22.8" x14ac:dyDescent="0.3">
      <c r="B4" s="10" t="s">
        <v>32</v>
      </c>
      <c r="C4" s="8" t="s">
        <v>20</v>
      </c>
      <c r="D4" s="16" t="s">
        <v>28</v>
      </c>
      <c r="E4" s="9" t="s">
        <v>26</v>
      </c>
      <c r="F4" s="8" t="s">
        <v>20</v>
      </c>
      <c r="G4" s="15" t="s">
        <v>28</v>
      </c>
      <c r="H4" s="11" t="s">
        <v>26</v>
      </c>
      <c r="I4" s="86"/>
      <c r="J4" s="50"/>
      <c r="K4" s="87"/>
      <c r="L4" s="50"/>
      <c r="M4" s="60"/>
      <c r="N4" s="62"/>
    </row>
    <row r="5" spans="1:14" x14ac:dyDescent="0.3">
      <c r="A5" s="6" t="s">
        <v>7</v>
      </c>
      <c r="B5" s="4">
        <v>46082</v>
      </c>
      <c r="C5" s="3">
        <v>0</v>
      </c>
      <c r="D5" s="3">
        <f>C5</f>
        <v>0</v>
      </c>
      <c r="E5" s="3">
        <f>D5</f>
        <v>0</v>
      </c>
      <c r="F5" s="13">
        <v>0</v>
      </c>
      <c r="G5" s="3">
        <f t="shared" ref="G5:G19" si="0">SUM(F5)</f>
        <v>0</v>
      </c>
      <c r="H5" s="3">
        <f>G5</f>
        <v>0</v>
      </c>
      <c r="I5" s="3">
        <f>D5</f>
        <v>0</v>
      </c>
      <c r="J5" s="18">
        <f>I5</f>
        <v>0</v>
      </c>
      <c r="K5" s="3">
        <f>G5</f>
        <v>0</v>
      </c>
      <c r="L5" s="5">
        <f>K5</f>
        <v>0</v>
      </c>
      <c r="M5" s="3">
        <f>K5-I5</f>
        <v>0</v>
      </c>
      <c r="N5" s="5">
        <f>M5</f>
        <v>0</v>
      </c>
    </row>
    <row r="6" spans="1:14" x14ac:dyDescent="0.3">
      <c r="A6" s="6" t="s">
        <v>8</v>
      </c>
      <c r="B6" s="4">
        <v>46083</v>
      </c>
      <c r="C6" s="3">
        <v>10125.89</v>
      </c>
      <c r="D6" s="3">
        <f t="shared" ref="D6:D21" si="1">C6</f>
        <v>10125.89</v>
      </c>
      <c r="E6" s="3">
        <f>D6+E5</f>
        <v>10125.89</v>
      </c>
      <c r="F6" s="3"/>
      <c r="G6" s="3">
        <f t="shared" si="0"/>
        <v>0</v>
      </c>
      <c r="H6" s="3">
        <f>G6+H5</f>
        <v>0</v>
      </c>
      <c r="I6" s="3">
        <f t="shared" ref="I6:I21" si="2">D6</f>
        <v>10125.89</v>
      </c>
      <c r="J6" s="18">
        <f>I6+J5</f>
        <v>10125.89</v>
      </c>
      <c r="K6" s="3">
        <f t="shared" ref="K6:K21" si="3">G6</f>
        <v>0</v>
      </c>
      <c r="L6" s="5">
        <f>K6+L5</f>
        <v>0</v>
      </c>
      <c r="M6" s="3">
        <f t="shared" ref="M6:M21" si="4">K6-I6</f>
        <v>-10125.89</v>
      </c>
      <c r="N6" s="5">
        <f>M6+N5</f>
        <v>-10125.89</v>
      </c>
    </row>
    <row r="7" spans="1:14" x14ac:dyDescent="0.3">
      <c r="A7" s="6" t="s">
        <v>9</v>
      </c>
      <c r="B7" s="4">
        <v>46084</v>
      </c>
      <c r="C7" s="3">
        <v>7475.78</v>
      </c>
      <c r="D7" s="3">
        <f t="shared" si="1"/>
        <v>7475.78</v>
      </c>
      <c r="E7" s="3">
        <f t="shared" ref="E7:E21" si="5">D7+E6</f>
        <v>17601.669999999998</v>
      </c>
      <c r="F7" s="3"/>
      <c r="G7" s="3">
        <f t="shared" si="0"/>
        <v>0</v>
      </c>
      <c r="H7" s="3">
        <f t="shared" ref="H7:H21" si="6">G7+H6</f>
        <v>0</v>
      </c>
      <c r="I7" s="3">
        <f t="shared" si="2"/>
        <v>7475.78</v>
      </c>
      <c r="J7" s="18">
        <f>I7+J6</f>
        <v>17601.669999999998</v>
      </c>
      <c r="K7" s="3">
        <f t="shared" si="3"/>
        <v>0</v>
      </c>
      <c r="L7" s="5">
        <f>K7+L6</f>
        <v>0</v>
      </c>
      <c r="M7" s="3">
        <f t="shared" si="4"/>
        <v>-7475.78</v>
      </c>
      <c r="N7" s="5">
        <f>M7+N6</f>
        <v>-17601.669999999998</v>
      </c>
    </row>
    <row r="8" spans="1:14" x14ac:dyDescent="0.3">
      <c r="A8" s="6" t="s">
        <v>10</v>
      </c>
      <c r="B8" s="4">
        <v>46085</v>
      </c>
      <c r="C8" s="3">
        <v>7858.89</v>
      </c>
      <c r="D8" s="3">
        <f t="shared" si="1"/>
        <v>7858.89</v>
      </c>
      <c r="E8" s="3">
        <f t="shared" si="5"/>
        <v>25460.559999999998</v>
      </c>
      <c r="F8" s="3"/>
      <c r="G8" s="3">
        <f t="shared" si="0"/>
        <v>0</v>
      </c>
      <c r="H8" s="3">
        <f t="shared" si="6"/>
        <v>0</v>
      </c>
      <c r="I8" s="3">
        <f t="shared" si="2"/>
        <v>7858.89</v>
      </c>
      <c r="J8" s="18">
        <f t="shared" ref="J8:J21" si="7">I8+J7</f>
        <v>25460.559999999998</v>
      </c>
      <c r="K8" s="3">
        <f t="shared" si="3"/>
        <v>0</v>
      </c>
      <c r="L8" s="5">
        <f t="shared" ref="L8:L21" si="8">K8+L7</f>
        <v>0</v>
      </c>
      <c r="M8" s="3">
        <f t="shared" si="4"/>
        <v>-7858.89</v>
      </c>
      <c r="N8" s="5">
        <f>M8+N7</f>
        <v>-25460.559999999998</v>
      </c>
    </row>
    <row r="9" spans="1:14" x14ac:dyDescent="0.3">
      <c r="A9" s="6" t="s">
        <v>11</v>
      </c>
      <c r="B9" s="4">
        <v>46086</v>
      </c>
      <c r="C9" s="7">
        <f>166340.67-153521.5</f>
        <v>12819.170000000013</v>
      </c>
      <c r="D9" s="3">
        <f t="shared" si="1"/>
        <v>12819.170000000013</v>
      </c>
      <c r="E9" s="3">
        <f t="shared" si="5"/>
        <v>38279.73000000001</v>
      </c>
      <c r="F9" s="3"/>
      <c r="G9" s="3">
        <f t="shared" si="0"/>
        <v>0</v>
      </c>
      <c r="H9" s="3">
        <f t="shared" si="6"/>
        <v>0</v>
      </c>
      <c r="I9" s="3">
        <f t="shared" si="2"/>
        <v>12819.170000000013</v>
      </c>
      <c r="J9" s="18">
        <f t="shared" si="7"/>
        <v>38279.73000000001</v>
      </c>
      <c r="K9" s="3">
        <f t="shared" si="3"/>
        <v>0</v>
      </c>
      <c r="L9" s="5">
        <f t="shared" si="8"/>
        <v>0</v>
      </c>
      <c r="M9" s="3">
        <f t="shared" si="4"/>
        <v>-12819.170000000013</v>
      </c>
      <c r="N9" s="5">
        <f t="shared" ref="N9:N21" si="9">M9+N8</f>
        <v>-38279.73000000001</v>
      </c>
    </row>
    <row r="10" spans="1:14" x14ac:dyDescent="0.3">
      <c r="A10" s="6" t="s">
        <v>12</v>
      </c>
      <c r="B10" s="4">
        <v>46087</v>
      </c>
      <c r="C10" s="3">
        <v>6139.78</v>
      </c>
      <c r="D10" s="3">
        <f t="shared" si="1"/>
        <v>6139.78</v>
      </c>
      <c r="E10" s="3">
        <f t="shared" si="5"/>
        <v>44419.510000000009</v>
      </c>
      <c r="F10" s="3"/>
      <c r="G10" s="3">
        <f t="shared" si="0"/>
        <v>0</v>
      </c>
      <c r="H10" s="3">
        <f t="shared" si="6"/>
        <v>0</v>
      </c>
      <c r="I10" s="3">
        <f t="shared" si="2"/>
        <v>6139.78</v>
      </c>
      <c r="J10" s="18">
        <f t="shared" si="7"/>
        <v>44419.510000000009</v>
      </c>
      <c r="K10" s="3">
        <f t="shared" si="3"/>
        <v>0</v>
      </c>
      <c r="L10" s="5">
        <f t="shared" si="8"/>
        <v>0</v>
      </c>
      <c r="M10" s="3">
        <f t="shared" si="4"/>
        <v>-6139.78</v>
      </c>
      <c r="N10" s="5">
        <f t="shared" si="9"/>
        <v>-44419.510000000009</v>
      </c>
    </row>
    <row r="11" spans="1:14" x14ac:dyDescent="0.3">
      <c r="A11" s="6" t="s">
        <v>13</v>
      </c>
      <c r="B11" s="4">
        <v>46088</v>
      </c>
      <c r="C11" s="3">
        <v>4375.8900000000003</v>
      </c>
      <c r="D11" s="3">
        <f t="shared" si="1"/>
        <v>4375.8900000000003</v>
      </c>
      <c r="E11" s="3">
        <f t="shared" si="5"/>
        <v>48795.400000000009</v>
      </c>
      <c r="F11" s="3">
        <v>0</v>
      </c>
      <c r="G11" s="3">
        <f t="shared" si="0"/>
        <v>0</v>
      </c>
      <c r="H11" s="3">
        <f t="shared" si="6"/>
        <v>0</v>
      </c>
      <c r="I11" s="3">
        <f t="shared" si="2"/>
        <v>4375.8900000000003</v>
      </c>
      <c r="J11" s="18">
        <f t="shared" si="7"/>
        <v>48795.400000000009</v>
      </c>
      <c r="K11" s="3">
        <f t="shared" si="3"/>
        <v>0</v>
      </c>
      <c r="L11" s="5">
        <f t="shared" si="8"/>
        <v>0</v>
      </c>
      <c r="M11" s="3">
        <f t="shared" si="4"/>
        <v>-4375.8900000000003</v>
      </c>
      <c r="N11" s="5">
        <f t="shared" si="9"/>
        <v>-48795.400000000009</v>
      </c>
    </row>
    <row r="12" spans="1:14" x14ac:dyDescent="0.3">
      <c r="A12" s="6" t="s">
        <v>7</v>
      </c>
      <c r="B12" s="4">
        <v>46089</v>
      </c>
      <c r="C12" s="3">
        <v>0</v>
      </c>
      <c r="D12" s="3">
        <f t="shared" si="1"/>
        <v>0</v>
      </c>
      <c r="E12" s="3">
        <f t="shared" si="5"/>
        <v>48795.400000000009</v>
      </c>
      <c r="F12" s="3">
        <v>0</v>
      </c>
      <c r="G12" s="3">
        <f t="shared" si="0"/>
        <v>0</v>
      </c>
      <c r="H12" s="3">
        <f t="shared" si="6"/>
        <v>0</v>
      </c>
      <c r="I12" s="3">
        <f t="shared" si="2"/>
        <v>0</v>
      </c>
      <c r="J12" s="18">
        <f t="shared" si="7"/>
        <v>48795.400000000009</v>
      </c>
      <c r="K12" s="3">
        <f t="shared" si="3"/>
        <v>0</v>
      </c>
      <c r="L12" s="5">
        <f t="shared" si="8"/>
        <v>0</v>
      </c>
      <c r="M12" s="3">
        <f t="shared" si="4"/>
        <v>0</v>
      </c>
      <c r="N12" s="5">
        <f t="shared" si="9"/>
        <v>-48795.400000000009</v>
      </c>
    </row>
    <row r="13" spans="1:14" x14ac:dyDescent="0.3">
      <c r="A13" s="6" t="s">
        <v>8</v>
      </c>
      <c r="B13" s="4">
        <v>46090</v>
      </c>
      <c r="C13" s="3">
        <v>10505</v>
      </c>
      <c r="D13" s="3">
        <f t="shared" si="1"/>
        <v>10505</v>
      </c>
      <c r="E13" s="3">
        <f t="shared" si="5"/>
        <v>59300.400000000009</v>
      </c>
      <c r="F13" s="3"/>
      <c r="G13" s="3">
        <f t="shared" si="0"/>
        <v>0</v>
      </c>
      <c r="H13" s="3">
        <f t="shared" si="6"/>
        <v>0</v>
      </c>
      <c r="I13" s="3">
        <f t="shared" si="2"/>
        <v>10505</v>
      </c>
      <c r="J13" s="18">
        <f t="shared" si="7"/>
        <v>59300.400000000009</v>
      </c>
      <c r="K13" s="3">
        <f t="shared" si="3"/>
        <v>0</v>
      </c>
      <c r="L13" s="5">
        <f t="shared" si="8"/>
        <v>0</v>
      </c>
      <c r="M13" s="3">
        <f t="shared" si="4"/>
        <v>-10505</v>
      </c>
      <c r="N13" s="5">
        <f t="shared" si="9"/>
        <v>-59300.400000000009</v>
      </c>
    </row>
    <row r="14" spans="1:14" x14ac:dyDescent="0.3">
      <c r="A14" s="6" t="s">
        <v>9</v>
      </c>
      <c r="B14" s="4">
        <v>46091</v>
      </c>
      <c r="C14" s="3">
        <v>9482.2800000000007</v>
      </c>
      <c r="D14" s="3">
        <f t="shared" si="1"/>
        <v>9482.2800000000007</v>
      </c>
      <c r="E14" s="3">
        <f t="shared" si="5"/>
        <v>68782.680000000008</v>
      </c>
      <c r="F14" s="3"/>
      <c r="G14" s="3">
        <f t="shared" si="0"/>
        <v>0</v>
      </c>
      <c r="H14" s="3">
        <f t="shared" si="6"/>
        <v>0</v>
      </c>
      <c r="I14" s="3">
        <f t="shared" si="2"/>
        <v>9482.2800000000007</v>
      </c>
      <c r="J14" s="18">
        <f t="shared" si="7"/>
        <v>68782.680000000008</v>
      </c>
      <c r="K14" s="3">
        <f t="shared" si="3"/>
        <v>0</v>
      </c>
      <c r="L14" s="5">
        <f t="shared" si="8"/>
        <v>0</v>
      </c>
      <c r="M14" s="3">
        <f t="shared" si="4"/>
        <v>-9482.2800000000007</v>
      </c>
      <c r="N14" s="5">
        <f t="shared" si="9"/>
        <v>-68782.680000000008</v>
      </c>
    </row>
    <row r="15" spans="1:14" x14ac:dyDescent="0.3">
      <c r="A15" s="6" t="s">
        <v>10</v>
      </c>
      <c r="B15" s="4">
        <v>46092</v>
      </c>
      <c r="C15" s="3">
        <v>8377.89</v>
      </c>
      <c r="D15" s="3">
        <f t="shared" si="1"/>
        <v>8377.89</v>
      </c>
      <c r="E15" s="3">
        <f t="shared" si="5"/>
        <v>77160.570000000007</v>
      </c>
      <c r="F15" s="3"/>
      <c r="G15" s="3">
        <f t="shared" si="0"/>
        <v>0</v>
      </c>
      <c r="H15" s="3">
        <f t="shared" si="6"/>
        <v>0</v>
      </c>
      <c r="I15" s="3">
        <f t="shared" si="2"/>
        <v>8377.89</v>
      </c>
      <c r="J15" s="18">
        <f t="shared" si="7"/>
        <v>77160.570000000007</v>
      </c>
      <c r="K15" s="3">
        <f t="shared" si="3"/>
        <v>0</v>
      </c>
      <c r="L15" s="5">
        <f t="shared" si="8"/>
        <v>0</v>
      </c>
      <c r="M15" s="3">
        <f t="shared" si="4"/>
        <v>-8377.89</v>
      </c>
      <c r="N15" s="5">
        <f t="shared" si="9"/>
        <v>-77160.570000000007</v>
      </c>
    </row>
    <row r="16" spans="1:14" x14ac:dyDescent="0.3">
      <c r="A16" s="6" t="s">
        <v>11</v>
      </c>
      <c r="B16" s="4">
        <v>46093</v>
      </c>
      <c r="C16" s="3">
        <v>5084.8900000000003</v>
      </c>
      <c r="D16" s="3">
        <f t="shared" si="1"/>
        <v>5084.8900000000003</v>
      </c>
      <c r="E16" s="3">
        <f t="shared" si="5"/>
        <v>82245.460000000006</v>
      </c>
      <c r="F16" s="3"/>
      <c r="G16" s="3">
        <f t="shared" si="0"/>
        <v>0</v>
      </c>
      <c r="H16" s="3">
        <f t="shared" si="6"/>
        <v>0</v>
      </c>
      <c r="I16" s="3">
        <f t="shared" si="2"/>
        <v>5084.8900000000003</v>
      </c>
      <c r="J16" s="18">
        <f t="shared" si="7"/>
        <v>82245.460000000006</v>
      </c>
      <c r="K16" s="3">
        <f t="shared" si="3"/>
        <v>0</v>
      </c>
      <c r="L16" s="5">
        <f t="shared" si="8"/>
        <v>0</v>
      </c>
      <c r="M16" s="3">
        <f t="shared" si="4"/>
        <v>-5084.8900000000003</v>
      </c>
      <c r="N16" s="5">
        <f t="shared" si="9"/>
        <v>-82245.460000000006</v>
      </c>
    </row>
    <row r="17" spans="1:16" x14ac:dyDescent="0.3">
      <c r="A17" s="6" t="s">
        <v>12</v>
      </c>
      <c r="B17" s="4">
        <v>46094</v>
      </c>
      <c r="C17" s="3">
        <v>8262.7800000000007</v>
      </c>
      <c r="D17" s="3">
        <f t="shared" si="1"/>
        <v>8262.7800000000007</v>
      </c>
      <c r="E17" s="3">
        <f t="shared" si="5"/>
        <v>90508.24</v>
      </c>
      <c r="F17" s="3"/>
      <c r="G17" s="3">
        <f t="shared" si="0"/>
        <v>0</v>
      </c>
      <c r="H17" s="3">
        <f t="shared" si="6"/>
        <v>0</v>
      </c>
      <c r="I17" s="3">
        <f t="shared" si="2"/>
        <v>8262.7800000000007</v>
      </c>
      <c r="J17" s="18">
        <f t="shared" si="7"/>
        <v>90508.24</v>
      </c>
      <c r="K17" s="3">
        <f t="shared" si="3"/>
        <v>0</v>
      </c>
      <c r="L17" s="5">
        <f t="shared" si="8"/>
        <v>0</v>
      </c>
      <c r="M17" s="3">
        <f t="shared" si="4"/>
        <v>-8262.7800000000007</v>
      </c>
      <c r="N17" s="5">
        <f t="shared" si="9"/>
        <v>-90508.24</v>
      </c>
    </row>
    <row r="18" spans="1:16" x14ac:dyDescent="0.3">
      <c r="A18" s="6" t="s">
        <v>13</v>
      </c>
      <c r="B18" s="4">
        <v>46095</v>
      </c>
      <c r="C18" s="3">
        <v>6220.5</v>
      </c>
      <c r="D18" s="3">
        <f t="shared" si="1"/>
        <v>6220.5</v>
      </c>
      <c r="E18" s="3">
        <f t="shared" si="5"/>
        <v>96728.74</v>
      </c>
      <c r="F18" s="3">
        <v>0</v>
      </c>
      <c r="G18" s="3">
        <f t="shared" si="0"/>
        <v>0</v>
      </c>
      <c r="H18" s="3">
        <f t="shared" si="6"/>
        <v>0</v>
      </c>
      <c r="I18" s="3">
        <f t="shared" si="2"/>
        <v>6220.5</v>
      </c>
      <c r="J18" s="18">
        <f t="shared" si="7"/>
        <v>96728.74</v>
      </c>
      <c r="K18" s="3">
        <f t="shared" si="3"/>
        <v>0</v>
      </c>
      <c r="L18" s="5">
        <f t="shared" si="8"/>
        <v>0</v>
      </c>
      <c r="M18" s="3">
        <f t="shared" si="4"/>
        <v>-6220.5</v>
      </c>
      <c r="N18" s="5">
        <f t="shared" si="9"/>
        <v>-96728.74</v>
      </c>
    </row>
    <row r="19" spans="1:16" x14ac:dyDescent="0.3">
      <c r="A19" s="6" t="s">
        <v>7</v>
      </c>
      <c r="B19" s="4">
        <v>46096</v>
      </c>
      <c r="C19" s="3">
        <v>0</v>
      </c>
      <c r="D19" s="3">
        <f t="shared" si="1"/>
        <v>0</v>
      </c>
      <c r="E19" s="3">
        <f t="shared" si="5"/>
        <v>96728.74</v>
      </c>
      <c r="F19" s="3">
        <v>0</v>
      </c>
      <c r="G19" s="3">
        <f t="shared" si="0"/>
        <v>0</v>
      </c>
      <c r="H19" s="3">
        <f t="shared" si="6"/>
        <v>0</v>
      </c>
      <c r="I19" s="3">
        <f t="shared" si="2"/>
        <v>0</v>
      </c>
      <c r="J19" s="18">
        <f t="shared" si="7"/>
        <v>96728.74</v>
      </c>
      <c r="K19" s="3">
        <f t="shared" si="3"/>
        <v>0</v>
      </c>
      <c r="L19" s="5">
        <f t="shared" si="8"/>
        <v>0</v>
      </c>
      <c r="M19" s="3">
        <f t="shared" si="4"/>
        <v>0</v>
      </c>
      <c r="N19" s="5">
        <f t="shared" si="9"/>
        <v>-96728.74</v>
      </c>
    </row>
    <row r="20" spans="1:16" x14ac:dyDescent="0.3">
      <c r="A20" s="6" t="s">
        <v>8</v>
      </c>
      <c r="B20" s="4">
        <v>46097</v>
      </c>
      <c r="C20" s="3">
        <v>14548</v>
      </c>
      <c r="D20" s="3">
        <f t="shared" si="1"/>
        <v>14548</v>
      </c>
      <c r="E20" s="3">
        <f t="shared" si="5"/>
        <v>111276.74</v>
      </c>
      <c r="F20" s="3">
        <v>18412.240000000002</v>
      </c>
      <c r="G20" s="3">
        <f>SUM(F20)</f>
        <v>18412.240000000002</v>
      </c>
      <c r="H20" s="3">
        <f t="shared" si="6"/>
        <v>18412.240000000002</v>
      </c>
      <c r="I20" s="3">
        <f t="shared" si="2"/>
        <v>14548</v>
      </c>
      <c r="J20" s="18">
        <f t="shared" si="7"/>
        <v>111276.74</v>
      </c>
      <c r="K20" s="3">
        <f t="shared" si="3"/>
        <v>18412.240000000002</v>
      </c>
      <c r="L20" s="5">
        <f t="shared" si="8"/>
        <v>18412.240000000002</v>
      </c>
      <c r="M20" s="3">
        <f t="shared" si="4"/>
        <v>3864.2400000000016</v>
      </c>
      <c r="N20" s="5">
        <f t="shared" si="9"/>
        <v>-92864.5</v>
      </c>
    </row>
    <row r="21" spans="1:16" x14ac:dyDescent="0.3">
      <c r="A21" s="6" t="s">
        <v>9</v>
      </c>
      <c r="B21" s="4">
        <v>46098</v>
      </c>
      <c r="C21" s="3">
        <v>6292.89</v>
      </c>
      <c r="D21" s="3">
        <f t="shared" si="1"/>
        <v>6292.89</v>
      </c>
      <c r="E21" s="3">
        <f t="shared" si="5"/>
        <v>117569.63</v>
      </c>
      <c r="F21" s="3">
        <v>8972.0300000000007</v>
      </c>
      <c r="G21" s="3">
        <f>SUM(F21)</f>
        <v>8972.0300000000007</v>
      </c>
      <c r="H21" s="3">
        <f t="shared" si="6"/>
        <v>27384.270000000004</v>
      </c>
      <c r="I21" s="3">
        <f t="shared" si="2"/>
        <v>6292.89</v>
      </c>
      <c r="J21" s="18">
        <f t="shared" si="7"/>
        <v>117569.63</v>
      </c>
      <c r="K21" s="3">
        <f t="shared" si="3"/>
        <v>8972.0300000000007</v>
      </c>
      <c r="L21" s="5">
        <f t="shared" si="8"/>
        <v>27384.270000000004</v>
      </c>
      <c r="M21" s="3">
        <f t="shared" si="4"/>
        <v>2679.1400000000003</v>
      </c>
      <c r="N21" s="5">
        <f t="shared" si="9"/>
        <v>-90185.36</v>
      </c>
      <c r="P21" s="2"/>
    </row>
    <row r="22" spans="1:16" x14ac:dyDescent="0.3">
      <c r="A22" s="6" t="s">
        <v>10</v>
      </c>
      <c r="B22" s="4">
        <v>46099</v>
      </c>
      <c r="C22" s="1"/>
      <c r="D22" s="1"/>
      <c r="E22" s="1"/>
      <c r="F22" s="3"/>
      <c r="G22" s="3"/>
      <c r="H22" s="3"/>
      <c r="I22" s="3"/>
      <c r="J22" s="3"/>
      <c r="K22" s="3"/>
      <c r="L22" s="3"/>
      <c r="M22" s="3"/>
      <c r="N22" s="1"/>
    </row>
    <row r="23" spans="1:16" x14ac:dyDescent="0.3">
      <c r="A23" s="6" t="s">
        <v>11</v>
      </c>
      <c r="B23" s="4">
        <v>46100</v>
      </c>
      <c r="C23" s="1"/>
      <c r="D23" s="1"/>
      <c r="E23" s="1"/>
      <c r="F23" s="3"/>
      <c r="G23" s="3"/>
      <c r="H23" s="3"/>
      <c r="I23" s="3"/>
      <c r="J23" s="3"/>
      <c r="K23" s="3"/>
      <c r="L23" s="3"/>
      <c r="M23" s="3"/>
      <c r="N23" s="1"/>
    </row>
    <row r="24" spans="1:16" x14ac:dyDescent="0.3">
      <c r="A24" s="6" t="s">
        <v>12</v>
      </c>
      <c r="B24" s="4">
        <v>46101</v>
      </c>
      <c r="C24" s="1"/>
      <c r="D24" s="1"/>
      <c r="E24" s="1"/>
      <c r="F24" s="3"/>
      <c r="G24" s="3"/>
      <c r="H24" s="3"/>
      <c r="I24" s="3"/>
      <c r="J24" s="3"/>
      <c r="K24" s="3"/>
      <c r="L24" s="3"/>
      <c r="M24" s="3"/>
      <c r="N24" s="1"/>
    </row>
    <row r="25" spans="1:16" x14ac:dyDescent="0.3">
      <c r="A25" s="6" t="s">
        <v>13</v>
      </c>
      <c r="B25" s="4">
        <v>46102</v>
      </c>
      <c r="C25" s="1"/>
      <c r="D25" s="1"/>
      <c r="E25" s="1"/>
      <c r="F25" s="3"/>
      <c r="G25" s="3"/>
      <c r="H25" s="3"/>
      <c r="I25" s="3"/>
      <c r="J25" s="3"/>
      <c r="K25" s="3"/>
      <c r="L25" s="3"/>
      <c r="M25" s="3"/>
      <c r="N25" s="1"/>
    </row>
    <row r="26" spans="1:16" x14ac:dyDescent="0.3">
      <c r="A26" s="6" t="s">
        <v>7</v>
      </c>
      <c r="B26" s="4">
        <v>46103</v>
      </c>
      <c r="C26" s="1"/>
      <c r="D26" s="1"/>
      <c r="E26" s="1"/>
      <c r="F26" s="3"/>
      <c r="G26" s="3"/>
      <c r="H26" s="3"/>
      <c r="I26" s="3"/>
      <c r="J26" s="3"/>
      <c r="K26" s="3"/>
      <c r="L26" s="3"/>
      <c r="M26" s="3"/>
      <c r="N26" s="1"/>
    </row>
    <row r="27" spans="1:16" x14ac:dyDescent="0.3">
      <c r="A27" s="6" t="s">
        <v>8</v>
      </c>
      <c r="B27" s="4">
        <v>46104</v>
      </c>
      <c r="C27" s="1"/>
      <c r="D27" s="1"/>
      <c r="E27" s="1"/>
      <c r="F27" s="3"/>
      <c r="G27" s="3"/>
      <c r="H27" s="3"/>
      <c r="I27" s="3"/>
      <c r="J27" s="3"/>
      <c r="K27" s="3"/>
      <c r="L27" s="3"/>
      <c r="M27" s="3"/>
      <c r="N27" s="1"/>
    </row>
    <row r="28" spans="1:16" x14ac:dyDescent="0.3">
      <c r="A28" s="6" t="s">
        <v>9</v>
      </c>
      <c r="B28" s="4">
        <v>46105</v>
      </c>
      <c r="C28" s="1"/>
      <c r="D28" s="1"/>
      <c r="E28" s="1"/>
      <c r="F28" s="3"/>
      <c r="G28" s="3"/>
      <c r="H28" s="3"/>
      <c r="I28" s="3"/>
      <c r="J28" s="3"/>
      <c r="K28" s="3"/>
      <c r="L28" s="3"/>
      <c r="M28" s="3"/>
      <c r="N28" s="1"/>
    </row>
    <row r="29" spans="1:16" x14ac:dyDescent="0.3">
      <c r="A29" s="6" t="s">
        <v>10</v>
      </c>
      <c r="B29" s="4">
        <v>46106</v>
      </c>
      <c r="C29" s="1"/>
      <c r="D29" s="1"/>
      <c r="E29" s="1"/>
      <c r="F29" s="3"/>
      <c r="G29" s="3"/>
      <c r="H29" s="3"/>
      <c r="I29" s="3"/>
      <c r="J29" s="3"/>
      <c r="K29" s="3"/>
      <c r="L29" s="3"/>
      <c r="M29" s="3"/>
      <c r="N29" s="1"/>
    </row>
    <row r="30" spans="1:16" x14ac:dyDescent="0.3">
      <c r="A30" s="6" t="s">
        <v>11</v>
      </c>
      <c r="B30" s="4">
        <v>46107</v>
      </c>
      <c r="C30" s="1"/>
      <c r="D30" s="1"/>
      <c r="E30" s="1"/>
      <c r="F30" s="3"/>
      <c r="G30" s="3"/>
      <c r="H30" s="3"/>
      <c r="I30" s="3"/>
      <c r="J30" s="3"/>
      <c r="K30" s="3"/>
      <c r="L30" s="3"/>
      <c r="M30" s="3"/>
      <c r="N30" s="1"/>
    </row>
    <row r="31" spans="1:16" x14ac:dyDescent="0.3">
      <c r="A31" s="6" t="s">
        <v>12</v>
      </c>
      <c r="B31" s="4">
        <v>46108</v>
      </c>
      <c r="C31" s="1"/>
      <c r="D31" s="1"/>
      <c r="E31" s="1"/>
      <c r="F31" s="3"/>
      <c r="G31" s="3"/>
      <c r="H31" s="3"/>
      <c r="I31" s="3"/>
      <c r="J31" s="3"/>
      <c r="K31" s="3"/>
      <c r="L31" s="3"/>
      <c r="M31" s="3"/>
      <c r="N31" s="1"/>
    </row>
    <row r="32" spans="1:16" x14ac:dyDescent="0.3">
      <c r="A32" s="6" t="s">
        <v>13</v>
      </c>
      <c r="B32" s="4">
        <v>46109</v>
      </c>
      <c r="C32" s="1"/>
      <c r="D32" s="1"/>
      <c r="E32" s="1"/>
      <c r="F32" s="3"/>
      <c r="G32" s="3"/>
      <c r="H32" s="3"/>
      <c r="I32" s="3"/>
      <c r="J32" s="3"/>
      <c r="K32" s="3"/>
      <c r="L32" s="3"/>
      <c r="M32" s="3"/>
      <c r="N32" s="1"/>
    </row>
    <row r="33" spans="1:14" x14ac:dyDescent="0.3">
      <c r="A33" s="6" t="s">
        <v>7</v>
      </c>
      <c r="B33" s="4">
        <v>46110</v>
      </c>
      <c r="C33" s="1"/>
      <c r="D33" s="1"/>
      <c r="E33" s="1"/>
      <c r="F33" s="3"/>
      <c r="G33" s="3"/>
      <c r="H33" s="3"/>
      <c r="I33" s="3"/>
      <c r="J33" s="3"/>
      <c r="K33" s="3"/>
      <c r="L33" s="3"/>
      <c r="M33" s="3"/>
      <c r="N33" s="1"/>
    </row>
    <row r="34" spans="1:14" x14ac:dyDescent="0.3">
      <c r="A34" s="6" t="s">
        <v>8</v>
      </c>
      <c r="B34" s="4">
        <v>46111</v>
      </c>
      <c r="C34" s="1"/>
      <c r="D34" s="1"/>
      <c r="E34" s="1"/>
      <c r="F34" s="3"/>
      <c r="G34" s="3"/>
      <c r="H34" s="3"/>
      <c r="I34" s="3"/>
      <c r="J34" s="3"/>
      <c r="K34" s="3"/>
      <c r="L34" s="3"/>
      <c r="M34" s="3"/>
      <c r="N34" s="1"/>
    </row>
    <row r="35" spans="1:14" x14ac:dyDescent="0.3">
      <c r="A35" s="6" t="s">
        <v>9</v>
      </c>
      <c r="B35" s="4">
        <v>46112</v>
      </c>
      <c r="C35" s="1"/>
      <c r="D35" s="1"/>
      <c r="E35" s="1"/>
      <c r="F35" s="3"/>
      <c r="G35" s="3"/>
      <c r="H35" s="3"/>
      <c r="I35" s="3"/>
      <c r="J35" s="3"/>
      <c r="K35" s="3"/>
      <c r="L35" s="3"/>
      <c r="M35" s="3"/>
      <c r="N35" s="1"/>
    </row>
    <row r="36" spans="1:14" x14ac:dyDescent="0.3">
      <c r="C36" s="2">
        <f t="shared" ref="C36" si="10">SUM(C5:C35)</f>
        <v>117569.63</v>
      </c>
      <c r="D36" s="2"/>
      <c r="E36" s="2"/>
      <c r="F36" s="2"/>
      <c r="G36" s="2"/>
      <c r="H36" s="2"/>
      <c r="I36" s="2"/>
      <c r="J36" s="2"/>
      <c r="K36" s="2"/>
      <c r="L36" s="2"/>
      <c r="M36" s="2"/>
    </row>
  </sheetData>
  <mergeCells count="11">
    <mergeCell ref="C2:E2"/>
    <mergeCell ref="F2:H2"/>
    <mergeCell ref="I2:N2"/>
    <mergeCell ref="C3:E3"/>
    <mergeCell ref="F3:H3"/>
    <mergeCell ref="N3:N4"/>
    <mergeCell ref="I3:I4"/>
    <mergeCell ref="J3:J4"/>
    <mergeCell ref="K3:K4"/>
    <mergeCell ref="L3:L4"/>
    <mergeCell ref="M3:M4"/>
  </mergeCells>
  <pageMargins left="0.511811024" right="0.511811024" top="0.78740157499999996" bottom="0.78740157499999996" header="0.31496062000000002" footer="0.31496062000000002"/>
  <ignoredErrors>
    <ignoredError sqref="I5:I21 K5:K21 M5:M21" formula="1"/>
  </ignoredErrors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D783-E7B6-44DA-9B6C-9070DDA16EEC}">
  <dimension ref="A1:N36"/>
  <sheetViews>
    <sheetView workbookViewId="0">
      <pane ySplit="4" topLeftCell="A5" activePane="bottomLeft" state="frozen"/>
      <selection pane="bottomLeft" activeCell="Q13" sqref="Q13"/>
    </sheetView>
  </sheetViews>
  <sheetFormatPr defaultRowHeight="14.4" outlineLevelCol="1" x14ac:dyDescent="0.3"/>
  <cols>
    <col min="1" max="1" width="5" customWidth="1"/>
    <col min="2" max="2" width="7.109375" customWidth="1"/>
    <col min="3" max="3" width="9.88671875" customWidth="1" outlineLevel="1"/>
    <col min="4" max="4" width="10.109375" customWidth="1"/>
    <col min="5" max="5" width="11.21875" customWidth="1"/>
    <col min="6" max="6" width="12.33203125" customWidth="1" outlineLevel="1"/>
    <col min="7" max="7" width="10.21875" customWidth="1"/>
    <col min="8" max="8" width="11.6640625" customWidth="1"/>
    <col min="9" max="9" width="14.21875" customWidth="1"/>
    <col min="10" max="10" width="13" customWidth="1"/>
    <col min="11" max="11" width="14.21875" customWidth="1"/>
    <col min="12" max="12" width="11.44140625" customWidth="1"/>
    <col min="13" max="13" width="10.77734375" bestFit="1" customWidth="1"/>
    <col min="14" max="14" width="15.21875" customWidth="1"/>
  </cols>
  <sheetData>
    <row r="1" spans="1:14" ht="9" customHeight="1" x14ac:dyDescent="0.3"/>
    <row r="2" spans="1:14" ht="21" x14ac:dyDescent="0.4">
      <c r="C2" s="82" t="s">
        <v>2</v>
      </c>
      <c r="D2" s="82"/>
      <c r="E2" s="82"/>
      <c r="F2" s="84" t="s">
        <v>3</v>
      </c>
      <c r="G2" s="84"/>
      <c r="H2" s="84"/>
      <c r="I2" s="78" t="s">
        <v>15</v>
      </c>
      <c r="J2" s="79"/>
      <c r="K2" s="79"/>
      <c r="L2" s="79"/>
      <c r="M2" s="79"/>
      <c r="N2" s="80"/>
    </row>
    <row r="3" spans="1:14" x14ac:dyDescent="0.3">
      <c r="C3" s="85" t="s">
        <v>31</v>
      </c>
      <c r="D3" s="85"/>
      <c r="E3" s="85"/>
      <c r="F3" s="85" t="s">
        <v>31</v>
      </c>
      <c r="G3" s="85"/>
      <c r="H3" s="85"/>
      <c r="I3" s="86" t="s">
        <v>2</v>
      </c>
      <c r="J3" s="50" t="s">
        <v>19</v>
      </c>
      <c r="K3" s="87" t="s">
        <v>3</v>
      </c>
      <c r="L3" s="50" t="s">
        <v>21</v>
      </c>
      <c r="M3" s="59" t="s">
        <v>15</v>
      </c>
      <c r="N3" s="61" t="s">
        <v>33</v>
      </c>
    </row>
    <row r="4" spans="1:14" ht="34.200000000000003" x14ac:dyDescent="0.3">
      <c r="B4" s="10" t="s">
        <v>32</v>
      </c>
      <c r="C4" s="8" t="s">
        <v>16</v>
      </c>
      <c r="D4" s="16" t="s">
        <v>29</v>
      </c>
      <c r="E4" s="9" t="s">
        <v>30</v>
      </c>
      <c r="F4" s="8" t="s">
        <v>16</v>
      </c>
      <c r="G4" s="15" t="s">
        <v>29</v>
      </c>
      <c r="H4" s="11" t="s">
        <v>30</v>
      </c>
      <c r="I4" s="86"/>
      <c r="J4" s="50"/>
      <c r="K4" s="87"/>
      <c r="L4" s="50"/>
      <c r="M4" s="60"/>
      <c r="N4" s="62"/>
    </row>
    <row r="5" spans="1:14" x14ac:dyDescent="0.3">
      <c r="A5" s="6" t="s">
        <v>7</v>
      </c>
      <c r="B5" s="4">
        <v>46082</v>
      </c>
      <c r="C5" s="3">
        <v>1270</v>
      </c>
      <c r="D5" s="3">
        <f>C5</f>
        <v>1270</v>
      </c>
      <c r="E5" s="3">
        <f>D5</f>
        <v>1270</v>
      </c>
      <c r="F5" s="3">
        <v>0</v>
      </c>
      <c r="G5" s="3">
        <f t="shared" ref="G5:G19" si="0">SUM(F5)</f>
        <v>0</v>
      </c>
      <c r="H5" s="3">
        <f>G5</f>
        <v>0</v>
      </c>
      <c r="I5" s="3">
        <f>D5</f>
        <v>1270</v>
      </c>
      <c r="J5" s="18">
        <f>I5</f>
        <v>1270</v>
      </c>
      <c r="K5" s="3">
        <f>G5</f>
        <v>0</v>
      </c>
      <c r="L5" s="5">
        <f>K5</f>
        <v>0</v>
      </c>
      <c r="M5" s="3">
        <f>K5-I5</f>
        <v>-1270</v>
      </c>
      <c r="N5" s="5">
        <f>M5</f>
        <v>-1270</v>
      </c>
    </row>
    <row r="6" spans="1:14" x14ac:dyDescent="0.3">
      <c r="A6" s="6" t="s">
        <v>8</v>
      </c>
      <c r="B6" s="4">
        <v>46083</v>
      </c>
      <c r="C6" s="3">
        <v>85733.49</v>
      </c>
      <c r="D6" s="3">
        <f t="shared" ref="D6:D21" si="1">C6</f>
        <v>85733.49</v>
      </c>
      <c r="E6" s="3">
        <f>D6+E5</f>
        <v>87003.49</v>
      </c>
      <c r="F6" s="3"/>
      <c r="G6" s="3">
        <f t="shared" si="0"/>
        <v>0</v>
      </c>
      <c r="H6" s="3">
        <f>G6+H5</f>
        <v>0</v>
      </c>
      <c r="I6" s="3">
        <f t="shared" ref="I6:I21" si="2">D6</f>
        <v>85733.49</v>
      </c>
      <c r="J6" s="18">
        <f>I6+J5</f>
        <v>87003.49</v>
      </c>
      <c r="K6" s="3">
        <f t="shared" ref="K6:K21" si="3">G6</f>
        <v>0</v>
      </c>
      <c r="L6" s="5">
        <f>K6+L5</f>
        <v>0</v>
      </c>
      <c r="M6" s="3">
        <f t="shared" ref="M6:M21" si="4">K6-I6</f>
        <v>-85733.49</v>
      </c>
      <c r="N6" s="5">
        <f>M6+N5</f>
        <v>-87003.49</v>
      </c>
    </row>
    <row r="7" spans="1:14" x14ac:dyDescent="0.3">
      <c r="A7" s="6" t="s">
        <v>9</v>
      </c>
      <c r="B7" s="4">
        <v>46084</v>
      </c>
      <c r="C7" s="3">
        <v>29803.29</v>
      </c>
      <c r="D7" s="3">
        <f t="shared" si="1"/>
        <v>29803.29</v>
      </c>
      <c r="E7" s="3">
        <f t="shared" ref="E7:E21" si="5">D7+E6</f>
        <v>116806.78</v>
      </c>
      <c r="F7" s="3"/>
      <c r="G7" s="3">
        <f t="shared" si="0"/>
        <v>0</v>
      </c>
      <c r="H7" s="3">
        <f t="shared" ref="H7:H21" si="6">G7+H6</f>
        <v>0</v>
      </c>
      <c r="I7" s="3">
        <f t="shared" si="2"/>
        <v>29803.29</v>
      </c>
      <c r="J7" s="18">
        <f>I7+J6</f>
        <v>116806.78</v>
      </c>
      <c r="K7" s="3">
        <f t="shared" si="3"/>
        <v>0</v>
      </c>
      <c r="L7" s="5">
        <f>K7+L6</f>
        <v>0</v>
      </c>
      <c r="M7" s="3">
        <f t="shared" si="4"/>
        <v>-29803.29</v>
      </c>
      <c r="N7" s="5">
        <f>M7+N6</f>
        <v>-116806.78</v>
      </c>
    </row>
    <row r="8" spans="1:14" x14ac:dyDescent="0.3">
      <c r="A8" s="6" t="s">
        <v>10</v>
      </c>
      <c r="B8" s="4">
        <v>46085</v>
      </c>
      <c r="C8" s="3">
        <v>24919.56</v>
      </c>
      <c r="D8" s="3">
        <f t="shared" si="1"/>
        <v>24919.56</v>
      </c>
      <c r="E8" s="3">
        <f t="shared" si="5"/>
        <v>141726.34</v>
      </c>
      <c r="F8" s="3"/>
      <c r="G8" s="3">
        <f t="shared" si="0"/>
        <v>0</v>
      </c>
      <c r="H8" s="3">
        <f t="shared" si="6"/>
        <v>0</v>
      </c>
      <c r="I8" s="3">
        <f t="shared" si="2"/>
        <v>24919.56</v>
      </c>
      <c r="J8" s="18">
        <f t="shared" ref="J8:J21" si="7">I8+J7</f>
        <v>141726.34</v>
      </c>
      <c r="K8" s="3">
        <f t="shared" si="3"/>
        <v>0</v>
      </c>
      <c r="L8" s="5">
        <f t="shared" ref="L8:L21" si="8">K8+L7</f>
        <v>0</v>
      </c>
      <c r="M8" s="3">
        <f t="shared" si="4"/>
        <v>-24919.56</v>
      </c>
      <c r="N8" s="5">
        <f>M8+N7</f>
        <v>-141726.34</v>
      </c>
    </row>
    <row r="9" spans="1:14" x14ac:dyDescent="0.3">
      <c r="A9" s="6" t="s">
        <v>11</v>
      </c>
      <c r="B9" s="4">
        <v>46086</v>
      </c>
      <c r="C9" s="3">
        <v>24250.95</v>
      </c>
      <c r="D9" s="3">
        <f t="shared" si="1"/>
        <v>24250.95</v>
      </c>
      <c r="E9" s="3">
        <f t="shared" si="5"/>
        <v>165977.29</v>
      </c>
      <c r="F9" s="3"/>
      <c r="G9" s="3">
        <f t="shared" si="0"/>
        <v>0</v>
      </c>
      <c r="H9" s="3">
        <f t="shared" si="6"/>
        <v>0</v>
      </c>
      <c r="I9" s="3">
        <f t="shared" si="2"/>
        <v>24250.95</v>
      </c>
      <c r="J9" s="18">
        <f t="shared" si="7"/>
        <v>165977.29</v>
      </c>
      <c r="K9" s="3">
        <f t="shared" si="3"/>
        <v>0</v>
      </c>
      <c r="L9" s="5">
        <f t="shared" si="8"/>
        <v>0</v>
      </c>
      <c r="M9" s="3">
        <f t="shared" si="4"/>
        <v>-24250.95</v>
      </c>
      <c r="N9" s="5">
        <f t="shared" ref="N9:N21" si="9">M9+N8</f>
        <v>-165977.29</v>
      </c>
    </row>
    <row r="10" spans="1:14" x14ac:dyDescent="0.3">
      <c r="A10" s="6" t="s">
        <v>12</v>
      </c>
      <c r="B10" s="4">
        <v>46087</v>
      </c>
      <c r="C10" s="7">
        <f>70444.9-43350.12</f>
        <v>27094.779999999992</v>
      </c>
      <c r="D10" s="3">
        <f t="shared" si="1"/>
        <v>27094.779999999992</v>
      </c>
      <c r="E10" s="3">
        <f t="shared" si="5"/>
        <v>193072.07</v>
      </c>
      <c r="F10" s="3"/>
      <c r="G10" s="3">
        <f t="shared" si="0"/>
        <v>0</v>
      </c>
      <c r="H10" s="3">
        <f t="shared" si="6"/>
        <v>0</v>
      </c>
      <c r="I10" s="3">
        <f t="shared" si="2"/>
        <v>27094.779999999992</v>
      </c>
      <c r="J10" s="18">
        <f t="shared" si="7"/>
        <v>193072.07</v>
      </c>
      <c r="K10" s="3">
        <f t="shared" si="3"/>
        <v>0</v>
      </c>
      <c r="L10" s="5">
        <f t="shared" si="8"/>
        <v>0</v>
      </c>
      <c r="M10" s="3">
        <f t="shared" si="4"/>
        <v>-27094.779999999992</v>
      </c>
      <c r="N10" s="5">
        <f t="shared" si="9"/>
        <v>-193072.07</v>
      </c>
    </row>
    <row r="11" spans="1:14" x14ac:dyDescent="0.3">
      <c r="A11" s="6" t="s">
        <v>13</v>
      </c>
      <c r="B11" s="4">
        <v>46088</v>
      </c>
      <c r="C11" s="3">
        <v>36613.39</v>
      </c>
      <c r="D11" s="3">
        <f t="shared" si="1"/>
        <v>36613.39</v>
      </c>
      <c r="E11" s="3">
        <f t="shared" si="5"/>
        <v>229685.46000000002</v>
      </c>
      <c r="F11" s="3">
        <v>0</v>
      </c>
      <c r="G11" s="3">
        <f t="shared" si="0"/>
        <v>0</v>
      </c>
      <c r="H11" s="3">
        <f t="shared" si="6"/>
        <v>0</v>
      </c>
      <c r="I11" s="3">
        <f t="shared" si="2"/>
        <v>36613.39</v>
      </c>
      <c r="J11" s="18">
        <f t="shared" si="7"/>
        <v>229685.46000000002</v>
      </c>
      <c r="K11" s="3">
        <f t="shared" si="3"/>
        <v>0</v>
      </c>
      <c r="L11" s="5">
        <f t="shared" si="8"/>
        <v>0</v>
      </c>
      <c r="M11" s="3">
        <f t="shared" si="4"/>
        <v>-36613.39</v>
      </c>
      <c r="N11" s="5">
        <f t="shared" si="9"/>
        <v>-229685.46000000002</v>
      </c>
    </row>
    <row r="12" spans="1:14" x14ac:dyDescent="0.3">
      <c r="A12" s="6" t="s">
        <v>7</v>
      </c>
      <c r="B12" s="4">
        <v>46089</v>
      </c>
      <c r="C12" s="3">
        <v>5946.39</v>
      </c>
      <c r="D12" s="3">
        <f t="shared" si="1"/>
        <v>5946.39</v>
      </c>
      <c r="E12" s="3">
        <f t="shared" si="5"/>
        <v>235631.85000000003</v>
      </c>
      <c r="F12" s="3">
        <v>0</v>
      </c>
      <c r="G12" s="3">
        <f t="shared" si="0"/>
        <v>0</v>
      </c>
      <c r="H12" s="3">
        <f t="shared" si="6"/>
        <v>0</v>
      </c>
      <c r="I12" s="3">
        <f t="shared" si="2"/>
        <v>5946.39</v>
      </c>
      <c r="J12" s="18">
        <f t="shared" si="7"/>
        <v>235631.85000000003</v>
      </c>
      <c r="K12" s="3">
        <f t="shared" si="3"/>
        <v>0</v>
      </c>
      <c r="L12" s="5">
        <f t="shared" si="8"/>
        <v>0</v>
      </c>
      <c r="M12" s="3">
        <f t="shared" si="4"/>
        <v>-5946.39</v>
      </c>
      <c r="N12" s="5">
        <f t="shared" si="9"/>
        <v>-235631.85000000003</v>
      </c>
    </row>
    <row r="13" spans="1:14" x14ac:dyDescent="0.3">
      <c r="A13" s="6" t="s">
        <v>8</v>
      </c>
      <c r="B13" s="4">
        <v>46090</v>
      </c>
      <c r="C13" s="3">
        <v>19601.169999999998</v>
      </c>
      <c r="D13" s="3">
        <f t="shared" si="1"/>
        <v>19601.169999999998</v>
      </c>
      <c r="E13" s="3">
        <f t="shared" si="5"/>
        <v>255233.02000000002</v>
      </c>
      <c r="F13" s="3"/>
      <c r="G13" s="3">
        <f t="shared" si="0"/>
        <v>0</v>
      </c>
      <c r="H13" s="3">
        <f t="shared" si="6"/>
        <v>0</v>
      </c>
      <c r="I13" s="3">
        <f t="shared" si="2"/>
        <v>19601.169999999998</v>
      </c>
      <c r="J13" s="18">
        <f t="shared" si="7"/>
        <v>255233.02000000002</v>
      </c>
      <c r="K13" s="3">
        <f t="shared" si="3"/>
        <v>0</v>
      </c>
      <c r="L13" s="5">
        <f t="shared" si="8"/>
        <v>0</v>
      </c>
      <c r="M13" s="3">
        <f t="shared" si="4"/>
        <v>-19601.169999999998</v>
      </c>
      <c r="N13" s="5">
        <f t="shared" si="9"/>
        <v>-255233.02000000002</v>
      </c>
    </row>
    <row r="14" spans="1:14" x14ac:dyDescent="0.3">
      <c r="A14" s="6" t="s">
        <v>9</v>
      </c>
      <c r="B14" s="4">
        <v>46091</v>
      </c>
      <c r="C14" s="3">
        <v>27712.78</v>
      </c>
      <c r="D14" s="3">
        <f t="shared" si="1"/>
        <v>27712.78</v>
      </c>
      <c r="E14" s="3">
        <f t="shared" si="5"/>
        <v>282945.80000000005</v>
      </c>
      <c r="F14" s="3"/>
      <c r="G14" s="3">
        <f t="shared" si="0"/>
        <v>0</v>
      </c>
      <c r="H14" s="3">
        <f t="shared" si="6"/>
        <v>0</v>
      </c>
      <c r="I14" s="3">
        <f t="shared" si="2"/>
        <v>27712.78</v>
      </c>
      <c r="J14" s="18">
        <f t="shared" si="7"/>
        <v>282945.80000000005</v>
      </c>
      <c r="K14" s="3">
        <f t="shared" si="3"/>
        <v>0</v>
      </c>
      <c r="L14" s="5">
        <f t="shared" si="8"/>
        <v>0</v>
      </c>
      <c r="M14" s="3">
        <f t="shared" si="4"/>
        <v>-27712.78</v>
      </c>
      <c r="N14" s="5">
        <f t="shared" si="9"/>
        <v>-282945.80000000005</v>
      </c>
    </row>
    <row r="15" spans="1:14" x14ac:dyDescent="0.3">
      <c r="A15" s="6" t="s">
        <v>10</v>
      </c>
      <c r="B15" s="4">
        <v>46092</v>
      </c>
      <c r="C15" s="3">
        <v>62571.95</v>
      </c>
      <c r="D15" s="3">
        <f t="shared" si="1"/>
        <v>62571.95</v>
      </c>
      <c r="E15" s="3">
        <f t="shared" si="5"/>
        <v>345517.75000000006</v>
      </c>
      <c r="F15" s="3"/>
      <c r="G15" s="3">
        <f t="shared" si="0"/>
        <v>0</v>
      </c>
      <c r="H15" s="3">
        <f t="shared" si="6"/>
        <v>0</v>
      </c>
      <c r="I15" s="3">
        <f t="shared" si="2"/>
        <v>62571.95</v>
      </c>
      <c r="J15" s="18">
        <f t="shared" si="7"/>
        <v>345517.75000000006</v>
      </c>
      <c r="K15" s="3">
        <f t="shared" si="3"/>
        <v>0</v>
      </c>
      <c r="L15" s="5">
        <f t="shared" si="8"/>
        <v>0</v>
      </c>
      <c r="M15" s="3">
        <f t="shared" si="4"/>
        <v>-62571.95</v>
      </c>
      <c r="N15" s="5">
        <f t="shared" si="9"/>
        <v>-345517.75000000006</v>
      </c>
    </row>
    <row r="16" spans="1:14" x14ac:dyDescent="0.3">
      <c r="A16" s="6" t="s">
        <v>11</v>
      </c>
      <c r="B16" s="4">
        <v>46093</v>
      </c>
      <c r="C16" s="3">
        <v>25384</v>
      </c>
      <c r="D16" s="3">
        <f t="shared" si="1"/>
        <v>25384</v>
      </c>
      <c r="E16" s="3">
        <f t="shared" si="5"/>
        <v>370901.75000000006</v>
      </c>
      <c r="F16" s="3"/>
      <c r="G16" s="3">
        <f t="shared" si="0"/>
        <v>0</v>
      </c>
      <c r="H16" s="3">
        <f t="shared" si="6"/>
        <v>0</v>
      </c>
      <c r="I16" s="3">
        <f t="shared" si="2"/>
        <v>25384</v>
      </c>
      <c r="J16" s="18">
        <f t="shared" si="7"/>
        <v>370901.75000000006</v>
      </c>
      <c r="K16" s="3">
        <f t="shared" si="3"/>
        <v>0</v>
      </c>
      <c r="L16" s="5">
        <f t="shared" si="8"/>
        <v>0</v>
      </c>
      <c r="M16" s="3">
        <f t="shared" si="4"/>
        <v>-25384</v>
      </c>
      <c r="N16" s="5">
        <f t="shared" si="9"/>
        <v>-370901.75000000006</v>
      </c>
    </row>
    <row r="17" spans="1:14" x14ac:dyDescent="0.3">
      <c r="A17" s="6" t="s">
        <v>12</v>
      </c>
      <c r="B17" s="4">
        <v>46094</v>
      </c>
      <c r="C17" s="3">
        <v>26408.560000000001</v>
      </c>
      <c r="D17" s="3">
        <f t="shared" si="1"/>
        <v>26408.560000000001</v>
      </c>
      <c r="E17" s="3">
        <f t="shared" si="5"/>
        <v>397310.31000000006</v>
      </c>
      <c r="F17" s="3"/>
      <c r="G17" s="3">
        <f t="shared" si="0"/>
        <v>0</v>
      </c>
      <c r="H17" s="3">
        <f t="shared" si="6"/>
        <v>0</v>
      </c>
      <c r="I17" s="3">
        <f t="shared" si="2"/>
        <v>26408.560000000001</v>
      </c>
      <c r="J17" s="18">
        <f t="shared" si="7"/>
        <v>397310.31000000006</v>
      </c>
      <c r="K17" s="3">
        <f t="shared" si="3"/>
        <v>0</v>
      </c>
      <c r="L17" s="5">
        <f t="shared" si="8"/>
        <v>0</v>
      </c>
      <c r="M17" s="3">
        <f t="shared" si="4"/>
        <v>-26408.560000000001</v>
      </c>
      <c r="N17" s="5">
        <f t="shared" si="9"/>
        <v>-397310.31000000006</v>
      </c>
    </row>
    <row r="18" spans="1:14" x14ac:dyDescent="0.3">
      <c r="A18" s="6" t="s">
        <v>13</v>
      </c>
      <c r="B18" s="4">
        <v>46095</v>
      </c>
      <c r="C18" s="3">
        <v>23334.39</v>
      </c>
      <c r="D18" s="3">
        <f t="shared" si="1"/>
        <v>23334.39</v>
      </c>
      <c r="E18" s="3">
        <f t="shared" si="5"/>
        <v>420644.70000000007</v>
      </c>
      <c r="F18" s="3">
        <v>0</v>
      </c>
      <c r="G18" s="3">
        <f t="shared" si="0"/>
        <v>0</v>
      </c>
      <c r="H18" s="3">
        <f t="shared" si="6"/>
        <v>0</v>
      </c>
      <c r="I18" s="3">
        <f t="shared" si="2"/>
        <v>23334.39</v>
      </c>
      <c r="J18" s="18">
        <f t="shared" si="7"/>
        <v>420644.70000000007</v>
      </c>
      <c r="K18" s="3">
        <f t="shared" si="3"/>
        <v>0</v>
      </c>
      <c r="L18" s="5">
        <f t="shared" si="8"/>
        <v>0</v>
      </c>
      <c r="M18" s="3">
        <f t="shared" si="4"/>
        <v>-23334.39</v>
      </c>
      <c r="N18" s="5">
        <f t="shared" si="9"/>
        <v>-420644.70000000007</v>
      </c>
    </row>
    <row r="19" spans="1:14" x14ac:dyDescent="0.3">
      <c r="A19" s="6" t="s">
        <v>7</v>
      </c>
      <c r="B19" s="4">
        <v>46096</v>
      </c>
      <c r="C19" s="3">
        <v>1376.39</v>
      </c>
      <c r="D19" s="3">
        <f t="shared" si="1"/>
        <v>1376.39</v>
      </c>
      <c r="E19" s="3">
        <f t="shared" si="5"/>
        <v>422021.09000000008</v>
      </c>
      <c r="F19" s="3">
        <v>0</v>
      </c>
      <c r="G19" s="3">
        <f t="shared" si="0"/>
        <v>0</v>
      </c>
      <c r="H19" s="3">
        <f t="shared" si="6"/>
        <v>0</v>
      </c>
      <c r="I19" s="3">
        <f t="shared" si="2"/>
        <v>1376.39</v>
      </c>
      <c r="J19" s="18">
        <f t="shared" si="7"/>
        <v>422021.09000000008</v>
      </c>
      <c r="K19" s="3">
        <f t="shared" si="3"/>
        <v>0</v>
      </c>
      <c r="L19" s="5">
        <f t="shared" si="8"/>
        <v>0</v>
      </c>
      <c r="M19" s="3">
        <f t="shared" si="4"/>
        <v>-1376.39</v>
      </c>
      <c r="N19" s="5">
        <f t="shared" si="9"/>
        <v>-422021.09000000008</v>
      </c>
    </row>
    <row r="20" spans="1:14" x14ac:dyDescent="0.3">
      <c r="A20" s="6" t="s">
        <v>8</v>
      </c>
      <c r="B20" s="4">
        <v>46097</v>
      </c>
      <c r="C20" s="3">
        <v>28297.56</v>
      </c>
      <c r="D20" s="3">
        <f t="shared" si="1"/>
        <v>28297.56</v>
      </c>
      <c r="E20" s="3">
        <f t="shared" si="5"/>
        <v>450318.65000000008</v>
      </c>
      <c r="F20" s="3">
        <v>44982.27</v>
      </c>
      <c r="G20" s="3">
        <f>SUM(F20)</f>
        <v>44982.27</v>
      </c>
      <c r="H20" s="3">
        <f t="shared" si="6"/>
        <v>44982.27</v>
      </c>
      <c r="I20" s="3">
        <f t="shared" si="2"/>
        <v>28297.56</v>
      </c>
      <c r="J20" s="18">
        <f t="shared" si="7"/>
        <v>450318.65000000008</v>
      </c>
      <c r="K20" s="3">
        <f t="shared" si="3"/>
        <v>44982.27</v>
      </c>
      <c r="L20" s="5">
        <f t="shared" si="8"/>
        <v>44982.27</v>
      </c>
      <c r="M20" s="3">
        <f t="shared" si="4"/>
        <v>16684.709999999995</v>
      </c>
      <c r="N20" s="5">
        <f t="shared" si="9"/>
        <v>-405336.38000000006</v>
      </c>
    </row>
    <row r="21" spans="1:14" x14ac:dyDescent="0.3">
      <c r="A21" s="6" t="s">
        <v>9</v>
      </c>
      <c r="B21" s="4">
        <v>46098</v>
      </c>
      <c r="C21" s="3">
        <v>21708.95</v>
      </c>
      <c r="D21" s="3">
        <f t="shared" si="1"/>
        <v>21708.95</v>
      </c>
      <c r="E21" s="3">
        <f t="shared" si="5"/>
        <v>472027.60000000009</v>
      </c>
      <c r="F21" s="3">
        <v>45808.58</v>
      </c>
      <c r="G21" s="3">
        <f>SUM(F21)</f>
        <v>45808.58</v>
      </c>
      <c r="H21" s="3">
        <f t="shared" si="6"/>
        <v>90790.85</v>
      </c>
      <c r="I21" s="3">
        <f t="shared" si="2"/>
        <v>21708.95</v>
      </c>
      <c r="J21" s="18">
        <f t="shared" si="7"/>
        <v>472027.60000000009</v>
      </c>
      <c r="K21" s="3">
        <f t="shared" si="3"/>
        <v>45808.58</v>
      </c>
      <c r="L21" s="5">
        <f t="shared" si="8"/>
        <v>90790.85</v>
      </c>
      <c r="M21" s="3">
        <f t="shared" si="4"/>
        <v>24099.63</v>
      </c>
      <c r="N21" s="5">
        <f t="shared" si="9"/>
        <v>-381236.75000000006</v>
      </c>
    </row>
    <row r="22" spans="1:14" x14ac:dyDescent="0.3">
      <c r="A22" s="6" t="s">
        <v>10</v>
      </c>
      <c r="B22" s="4">
        <v>46099</v>
      </c>
      <c r="C22" s="1"/>
      <c r="D22" s="1"/>
      <c r="E22" s="1"/>
      <c r="F22" s="3"/>
      <c r="G22" s="3"/>
      <c r="H22" s="3"/>
      <c r="I22" s="3"/>
      <c r="J22" s="3"/>
      <c r="K22" s="3"/>
      <c r="L22" s="3"/>
      <c r="M22" s="3"/>
      <c r="N22" s="1"/>
    </row>
    <row r="23" spans="1:14" x14ac:dyDescent="0.3">
      <c r="A23" s="6" t="s">
        <v>11</v>
      </c>
      <c r="B23" s="4">
        <v>46100</v>
      </c>
      <c r="C23" s="1"/>
      <c r="D23" s="1"/>
      <c r="E23" s="1"/>
      <c r="F23" s="3"/>
      <c r="G23" s="3"/>
      <c r="H23" s="3"/>
      <c r="I23" s="3"/>
      <c r="J23" s="3"/>
      <c r="K23" s="3"/>
      <c r="L23" s="3"/>
      <c r="M23" s="3"/>
      <c r="N23" s="1"/>
    </row>
    <row r="24" spans="1:14" x14ac:dyDescent="0.3">
      <c r="A24" s="6" t="s">
        <v>12</v>
      </c>
      <c r="B24" s="4">
        <v>46101</v>
      </c>
      <c r="C24" s="1"/>
      <c r="D24" s="1"/>
      <c r="E24" s="1"/>
      <c r="F24" s="3"/>
      <c r="G24" s="3"/>
      <c r="H24" s="3"/>
      <c r="I24" s="3"/>
      <c r="J24" s="3"/>
      <c r="K24" s="3"/>
      <c r="L24" s="3"/>
      <c r="M24" s="3"/>
      <c r="N24" s="1"/>
    </row>
    <row r="25" spans="1:14" x14ac:dyDescent="0.3">
      <c r="A25" s="6" t="s">
        <v>13</v>
      </c>
      <c r="B25" s="4">
        <v>46102</v>
      </c>
      <c r="C25" s="1"/>
      <c r="D25" s="1"/>
      <c r="E25" s="1"/>
      <c r="F25" s="3"/>
      <c r="G25" s="3"/>
      <c r="H25" s="3"/>
      <c r="I25" s="3"/>
      <c r="J25" s="3"/>
      <c r="K25" s="3"/>
      <c r="L25" s="3"/>
      <c r="M25" s="3"/>
      <c r="N25" s="1"/>
    </row>
    <row r="26" spans="1:14" x14ac:dyDescent="0.3">
      <c r="A26" s="6" t="s">
        <v>7</v>
      </c>
      <c r="B26" s="4">
        <v>46103</v>
      </c>
      <c r="C26" s="1"/>
      <c r="D26" s="1"/>
      <c r="E26" s="1"/>
      <c r="F26" s="3"/>
      <c r="G26" s="3"/>
      <c r="H26" s="3"/>
      <c r="I26" s="3"/>
      <c r="J26" s="3"/>
      <c r="K26" s="3"/>
      <c r="L26" s="3"/>
      <c r="M26" s="3"/>
      <c r="N26" s="1"/>
    </row>
    <row r="27" spans="1:14" x14ac:dyDescent="0.3">
      <c r="A27" s="6" t="s">
        <v>8</v>
      </c>
      <c r="B27" s="4">
        <v>46104</v>
      </c>
      <c r="C27" s="1"/>
      <c r="D27" s="1"/>
      <c r="E27" s="1"/>
      <c r="F27" s="3"/>
      <c r="G27" s="3"/>
      <c r="H27" s="3"/>
      <c r="I27" s="3"/>
      <c r="J27" s="3"/>
      <c r="K27" s="3"/>
      <c r="L27" s="3"/>
      <c r="M27" s="3"/>
      <c r="N27" s="1"/>
    </row>
    <row r="28" spans="1:14" x14ac:dyDescent="0.3">
      <c r="A28" s="6" t="s">
        <v>9</v>
      </c>
      <c r="B28" s="4">
        <v>46105</v>
      </c>
      <c r="C28" s="1"/>
      <c r="D28" s="1"/>
      <c r="E28" s="1"/>
      <c r="F28" s="3"/>
      <c r="G28" s="3"/>
      <c r="H28" s="3"/>
      <c r="I28" s="3"/>
      <c r="J28" s="3"/>
      <c r="K28" s="3"/>
      <c r="L28" s="3"/>
      <c r="M28" s="3"/>
      <c r="N28" s="1"/>
    </row>
    <row r="29" spans="1:14" x14ac:dyDescent="0.3">
      <c r="A29" s="6" t="s">
        <v>10</v>
      </c>
      <c r="B29" s="4">
        <v>46106</v>
      </c>
      <c r="C29" s="1"/>
      <c r="D29" s="1"/>
      <c r="E29" s="1"/>
      <c r="F29" s="3"/>
      <c r="G29" s="3"/>
      <c r="H29" s="3"/>
      <c r="I29" s="3"/>
      <c r="J29" s="3"/>
      <c r="K29" s="3"/>
      <c r="L29" s="3"/>
      <c r="M29" s="3"/>
      <c r="N29" s="1"/>
    </row>
    <row r="30" spans="1:14" x14ac:dyDescent="0.3">
      <c r="A30" s="6" t="s">
        <v>11</v>
      </c>
      <c r="B30" s="4">
        <v>46107</v>
      </c>
      <c r="C30" s="1"/>
      <c r="D30" s="1"/>
      <c r="E30" s="1"/>
      <c r="F30" s="3"/>
      <c r="G30" s="3"/>
      <c r="H30" s="3"/>
      <c r="I30" s="3"/>
      <c r="J30" s="3"/>
      <c r="K30" s="3"/>
      <c r="L30" s="3"/>
      <c r="M30" s="3"/>
      <c r="N30" s="1"/>
    </row>
    <row r="31" spans="1:14" x14ac:dyDescent="0.3">
      <c r="A31" s="6" t="s">
        <v>12</v>
      </c>
      <c r="B31" s="4">
        <v>46108</v>
      </c>
      <c r="C31" s="1"/>
      <c r="D31" s="1"/>
      <c r="E31" s="1"/>
      <c r="F31" s="3"/>
      <c r="G31" s="3"/>
      <c r="H31" s="3"/>
      <c r="I31" s="3"/>
      <c r="J31" s="3"/>
      <c r="K31" s="3"/>
      <c r="L31" s="3"/>
      <c r="M31" s="3"/>
      <c r="N31" s="1"/>
    </row>
    <row r="32" spans="1:14" x14ac:dyDescent="0.3">
      <c r="A32" s="6" t="s">
        <v>13</v>
      </c>
      <c r="B32" s="4">
        <v>46109</v>
      </c>
      <c r="C32" s="1"/>
      <c r="D32" s="1"/>
      <c r="E32" s="1"/>
      <c r="F32" s="3"/>
      <c r="G32" s="3"/>
      <c r="H32" s="3"/>
      <c r="I32" s="3"/>
      <c r="J32" s="3"/>
      <c r="K32" s="3"/>
      <c r="L32" s="3"/>
      <c r="M32" s="3"/>
      <c r="N32" s="1"/>
    </row>
    <row r="33" spans="1:14" x14ac:dyDescent="0.3">
      <c r="A33" s="6" t="s">
        <v>7</v>
      </c>
      <c r="B33" s="4">
        <v>46110</v>
      </c>
      <c r="C33" s="1"/>
      <c r="D33" s="1"/>
      <c r="E33" s="1"/>
      <c r="F33" s="3"/>
      <c r="G33" s="3"/>
      <c r="H33" s="3"/>
      <c r="I33" s="3"/>
      <c r="J33" s="3"/>
      <c r="K33" s="3"/>
      <c r="L33" s="3"/>
      <c r="M33" s="3"/>
      <c r="N33" s="1"/>
    </row>
    <row r="34" spans="1:14" x14ac:dyDescent="0.3">
      <c r="A34" s="6" t="s">
        <v>8</v>
      </c>
      <c r="B34" s="4">
        <v>46111</v>
      </c>
      <c r="C34" s="1"/>
      <c r="D34" s="1"/>
      <c r="E34" s="1"/>
      <c r="F34" s="3"/>
      <c r="G34" s="3"/>
      <c r="H34" s="3"/>
      <c r="I34" s="3"/>
      <c r="J34" s="3"/>
      <c r="K34" s="3"/>
      <c r="L34" s="3"/>
      <c r="M34" s="3"/>
      <c r="N34" s="1"/>
    </row>
    <row r="35" spans="1:14" x14ac:dyDescent="0.3">
      <c r="A35" s="6" t="s">
        <v>9</v>
      </c>
      <c r="B35" s="4">
        <v>46112</v>
      </c>
      <c r="C35" s="1"/>
      <c r="D35" s="1"/>
      <c r="E35" s="1"/>
      <c r="F35" s="3"/>
      <c r="G35" s="3"/>
      <c r="H35" s="3"/>
      <c r="I35" s="3"/>
      <c r="J35" s="3"/>
      <c r="K35" s="3"/>
      <c r="L35" s="3"/>
      <c r="M35" s="3"/>
      <c r="N35" s="1"/>
    </row>
    <row r="36" spans="1:14" x14ac:dyDescent="0.3">
      <c r="C36" s="2">
        <f t="shared" ref="C36" si="10">SUM(C5:C35)</f>
        <v>472027.60000000009</v>
      </c>
      <c r="D36" s="2"/>
      <c r="E36" s="2"/>
      <c r="F36" s="2"/>
      <c r="G36" s="2"/>
      <c r="H36" s="2"/>
      <c r="I36" s="2"/>
      <c r="J36" s="2"/>
      <c r="K36" s="2"/>
      <c r="L36" s="2"/>
      <c r="M36" s="2"/>
    </row>
  </sheetData>
  <mergeCells count="11">
    <mergeCell ref="C2:E2"/>
    <mergeCell ref="F2:H2"/>
    <mergeCell ref="I2:N2"/>
    <mergeCell ref="C3:E3"/>
    <mergeCell ref="N3:N4"/>
    <mergeCell ref="F3:H3"/>
    <mergeCell ref="I3:I4"/>
    <mergeCell ref="J3:J4"/>
    <mergeCell ref="K3:K4"/>
    <mergeCell ref="L3:L4"/>
    <mergeCell ref="M3:M4"/>
  </mergeCells>
  <pageMargins left="0.511811024" right="0.511811024" top="0.78740157499999996" bottom="0.78740157499999996" header="0.31496062000000002" footer="0.31496062000000002"/>
  <ignoredErrors>
    <ignoredError sqref="I5:I21 K5:K21 M5:M21" formula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4C0C86-CA18-414B-BEBC-B0FBFC8F38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Detalhado</vt:lpstr>
      <vt:lpstr>Planilha10</vt:lpstr>
      <vt:lpstr>Planilha11</vt:lpstr>
      <vt:lpstr>Planilha9</vt:lpstr>
      <vt:lpstr>ILHEUS</vt:lpstr>
      <vt:lpstr>ITABUNA</vt:lpstr>
      <vt:lpstr>ITAPETINGA</vt:lpstr>
      <vt:lpstr>CONQUISTA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Luiz</dc:creator>
  <cp:lastModifiedBy>Pedro Luiz</cp:lastModifiedBy>
  <cp:lastPrinted>2026-03-19T18:28:01Z</cp:lastPrinted>
  <dcterms:created xsi:type="dcterms:W3CDTF">2026-03-13T14:31:27Z</dcterms:created>
  <dcterms:modified xsi:type="dcterms:W3CDTF">2026-03-22T12:58:18Z</dcterms:modified>
</cp:coreProperties>
</file>